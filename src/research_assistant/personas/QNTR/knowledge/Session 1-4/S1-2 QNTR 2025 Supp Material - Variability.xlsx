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G:\My Drive\Academic\Atul\Teaching\IIM Sb\1 Courses\QNTR\Slides\DBA\Student Material\Session 1-2\"/>
    </mc:Choice>
  </mc:AlternateContent>
  <xr:revisionPtr revIDLastSave="0" documentId="13_ncr:1_{7B3C38B9-56B0-4E27-B127-9DE76B90948A}" xr6:coauthVersionLast="47" xr6:coauthVersionMax="47" xr10:uidLastSave="{00000000-0000-0000-0000-000000000000}"/>
  <bookViews>
    <workbookView xWindow="-110" yWindow="-110" windowWidth="19420" windowHeight="10300" activeTab="5" xr2:uid="{00000000-000D-0000-FFFF-FFFF00000000}"/>
  </bookViews>
  <sheets>
    <sheet name="Range" sheetId="1" r:id="rId1"/>
    <sheet name="St Dev" sheetId="2" r:id="rId2"/>
    <sheet name="Z-score" sheetId="3" r:id="rId3"/>
    <sheet name="Distribution" sheetId="4" r:id="rId4"/>
    <sheet name="Right tailed" sheetId="5" r:id="rId5"/>
    <sheet name="Left tailed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6" l="1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C26" i="6"/>
  <c r="D26" i="6" s="1"/>
  <c r="C23" i="6"/>
  <c r="D23" i="6" s="1"/>
  <c r="C20" i="6"/>
  <c r="D20" i="6" s="1"/>
  <c r="C17" i="6"/>
  <c r="D17" i="6" s="1"/>
  <c r="C14" i="6"/>
  <c r="D14" i="6" s="1"/>
  <c r="C11" i="6"/>
  <c r="D11" i="6" s="1"/>
  <c r="C8" i="6"/>
  <c r="D8" i="6" s="1"/>
  <c r="H4" i="6"/>
  <c r="J3" i="6"/>
  <c r="H3" i="6"/>
  <c r="H2" i="6"/>
  <c r="C24" i="6" s="1"/>
  <c r="D24" i="6" s="1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4" i="5"/>
  <c r="J3" i="5"/>
  <c r="H3" i="5"/>
  <c r="H2" i="5"/>
  <c r="C9" i="4"/>
  <c r="D9" i="4"/>
  <c r="C10" i="4"/>
  <c r="D10" i="4"/>
  <c r="C13" i="4"/>
  <c r="D13" i="4"/>
  <c r="C14" i="4"/>
  <c r="D14" i="4"/>
  <c r="C17" i="4"/>
  <c r="D17" i="4"/>
  <c r="C18" i="4"/>
  <c r="D18" i="4"/>
  <c r="C21" i="4"/>
  <c r="D21" i="4"/>
  <c r="C22" i="4"/>
  <c r="D22" i="4"/>
  <c r="C25" i="4"/>
  <c r="D25" i="4"/>
  <c r="C26" i="4"/>
  <c r="D26" i="4"/>
  <c r="H4" i="4"/>
  <c r="J3" i="4"/>
  <c r="H3" i="4"/>
  <c r="H2" i="4"/>
  <c r="C7" i="4" s="1"/>
  <c r="B4" i="3"/>
  <c r="D3" i="3"/>
  <c r="B3" i="3"/>
  <c r="B2" i="3"/>
  <c r="C24" i="3" s="1"/>
  <c r="D24" i="3" s="1"/>
  <c r="D3" i="2"/>
  <c r="B4" i="2"/>
  <c r="B3" i="2"/>
  <c r="B2" i="2"/>
  <c r="C13" i="2" s="1"/>
  <c r="D13" i="2" s="1"/>
  <c r="B4" i="1"/>
  <c r="B3" i="1"/>
  <c r="B2" i="1"/>
  <c r="C7" i="2" l="1"/>
  <c r="D7" i="2" s="1"/>
  <c r="C23" i="2"/>
  <c r="D23" i="2" s="1"/>
  <c r="C11" i="2"/>
  <c r="D11" i="2" s="1"/>
  <c r="C22" i="2"/>
  <c r="D22" i="2" s="1"/>
  <c r="C10" i="2"/>
  <c r="D10" i="2" s="1"/>
  <c r="C26" i="2"/>
  <c r="D26" i="2" s="1"/>
  <c r="C14" i="2"/>
  <c r="D14" i="2" s="1"/>
  <c r="C24" i="2"/>
  <c r="D24" i="2" s="1"/>
  <c r="C12" i="2"/>
  <c r="D12" i="2" s="1"/>
  <c r="C21" i="2"/>
  <c r="D21" i="2" s="1"/>
  <c r="C9" i="2"/>
  <c r="D9" i="2" s="1"/>
  <c r="C20" i="2"/>
  <c r="D20" i="2" s="1"/>
  <c r="C8" i="2"/>
  <c r="D8" i="2" s="1"/>
  <c r="C19" i="2"/>
  <c r="D19" i="2" s="1"/>
  <c r="C18" i="2"/>
  <c r="D18" i="2" s="1"/>
  <c r="C17" i="2"/>
  <c r="D17" i="2" s="1"/>
  <c r="C16" i="2"/>
  <c r="D16" i="2" s="1"/>
  <c r="C15" i="2"/>
  <c r="D15" i="2" s="1"/>
  <c r="C25" i="2"/>
  <c r="D25" i="2" s="1"/>
  <c r="C9" i="6"/>
  <c r="D9" i="6" s="1"/>
  <c r="C15" i="6"/>
  <c r="D15" i="6" s="1"/>
  <c r="C21" i="6"/>
  <c r="D21" i="6" s="1"/>
  <c r="C7" i="6"/>
  <c r="D7" i="6" s="1"/>
  <c r="C10" i="6"/>
  <c r="D10" i="6" s="1"/>
  <c r="C13" i="6"/>
  <c r="D13" i="6" s="1"/>
  <c r="C16" i="6"/>
  <c r="D16" i="6" s="1"/>
  <c r="C19" i="6"/>
  <c r="D19" i="6" s="1"/>
  <c r="C22" i="6"/>
  <c r="D22" i="6" s="1"/>
  <c r="C25" i="6"/>
  <c r="D25" i="6" s="1"/>
  <c r="C12" i="6"/>
  <c r="D12" i="6" s="1"/>
  <c r="C18" i="6"/>
  <c r="D18" i="6" s="1"/>
  <c r="C8" i="5"/>
  <c r="D8" i="5" s="1"/>
  <c r="C11" i="5"/>
  <c r="D11" i="5" s="1"/>
  <c r="C14" i="5"/>
  <c r="D14" i="5" s="1"/>
  <c r="C17" i="5"/>
  <c r="D17" i="5" s="1"/>
  <c r="C20" i="5"/>
  <c r="D20" i="5" s="1"/>
  <c r="C23" i="5"/>
  <c r="D23" i="5" s="1"/>
  <c r="C26" i="5"/>
  <c r="D26" i="5" s="1"/>
  <c r="C9" i="5"/>
  <c r="D9" i="5" s="1"/>
  <c r="C18" i="5"/>
  <c r="D18" i="5" s="1"/>
  <c r="C24" i="5"/>
  <c r="D24" i="5" s="1"/>
  <c r="C12" i="5"/>
  <c r="D12" i="5" s="1"/>
  <c r="C15" i="5"/>
  <c r="D15" i="5" s="1"/>
  <c r="C21" i="5"/>
  <c r="D21" i="5" s="1"/>
  <c r="C7" i="5"/>
  <c r="D7" i="5" s="1"/>
  <c r="C10" i="5"/>
  <c r="D10" i="5" s="1"/>
  <c r="C13" i="5"/>
  <c r="D13" i="5" s="1"/>
  <c r="C16" i="5"/>
  <c r="D16" i="5" s="1"/>
  <c r="C19" i="5"/>
  <c r="D19" i="5" s="1"/>
  <c r="C22" i="5"/>
  <c r="D22" i="5" s="1"/>
  <c r="C25" i="5"/>
  <c r="D25" i="5" s="1"/>
  <c r="D7" i="4"/>
  <c r="C24" i="4"/>
  <c r="C20" i="4"/>
  <c r="C16" i="4"/>
  <c r="C12" i="4"/>
  <c r="C8" i="4"/>
  <c r="C23" i="4"/>
  <c r="C19" i="4"/>
  <c r="C15" i="4"/>
  <c r="C11" i="4"/>
  <c r="C21" i="3"/>
  <c r="C25" i="3"/>
  <c r="C7" i="3"/>
  <c r="C8" i="3"/>
  <c r="C9" i="3"/>
  <c r="C13" i="3"/>
  <c r="C14" i="3"/>
  <c r="C15" i="3"/>
  <c r="C19" i="3"/>
  <c r="C20" i="3"/>
  <c r="C26" i="3"/>
  <c r="C10" i="3"/>
  <c r="C16" i="3"/>
  <c r="C22" i="3"/>
  <c r="C11" i="3"/>
  <c r="C17" i="3"/>
  <c r="C23" i="3"/>
  <c r="C12" i="3"/>
  <c r="C18" i="3"/>
  <c r="D2" i="2" l="1"/>
  <c r="D4" i="2" s="1"/>
  <c r="J2" i="6"/>
  <c r="J4" i="6" s="1"/>
  <c r="J2" i="5"/>
  <c r="J4" i="5" s="1"/>
  <c r="D11" i="4"/>
  <c r="D15" i="4"/>
  <c r="D19" i="4"/>
  <c r="D23" i="4"/>
  <c r="D8" i="4"/>
  <c r="D12" i="4"/>
  <c r="D16" i="4"/>
  <c r="D20" i="4"/>
  <c r="D24" i="4"/>
  <c r="D11" i="3"/>
  <c r="D26" i="3"/>
  <c r="D20" i="3"/>
  <c r="D19" i="3"/>
  <c r="D15" i="3"/>
  <c r="D18" i="3"/>
  <c r="D14" i="3"/>
  <c r="D12" i="3"/>
  <c r="D13" i="3"/>
  <c r="D23" i="3"/>
  <c r="D9" i="3"/>
  <c r="D17" i="3"/>
  <c r="D8" i="3"/>
  <c r="D7" i="3"/>
  <c r="D22" i="3"/>
  <c r="D25" i="3"/>
  <c r="D16" i="3"/>
  <c r="D21" i="3"/>
  <c r="D10" i="3"/>
  <c r="E25" i="6" l="1"/>
  <c r="E19" i="6"/>
  <c r="E16" i="6"/>
  <c r="E13" i="6"/>
  <c r="E10" i="6"/>
  <c r="E7" i="6"/>
  <c r="E21" i="6"/>
  <c r="E12" i="6"/>
  <c r="E22" i="6"/>
  <c r="E24" i="6"/>
  <c r="E18" i="6"/>
  <c r="E9" i="6"/>
  <c r="E20" i="6"/>
  <c r="E8" i="6"/>
  <c r="E15" i="6"/>
  <c r="E26" i="6"/>
  <c r="E23" i="6"/>
  <c r="E17" i="6"/>
  <c r="E14" i="6"/>
  <c r="E11" i="6"/>
  <c r="E19" i="5"/>
  <c r="E14" i="5"/>
  <c r="E25" i="5"/>
  <c r="E13" i="5"/>
  <c r="E7" i="5"/>
  <c r="E20" i="5"/>
  <c r="E23" i="5"/>
  <c r="E24" i="5"/>
  <c r="E21" i="5"/>
  <c r="E18" i="5"/>
  <c r="E15" i="5"/>
  <c r="E12" i="5"/>
  <c r="E9" i="5"/>
  <c r="E17" i="5"/>
  <c r="E8" i="5"/>
  <c r="E22" i="5"/>
  <c r="E16" i="5"/>
  <c r="E10" i="5"/>
  <c r="E26" i="5"/>
  <c r="E11" i="5"/>
  <c r="J2" i="4"/>
  <c r="J4" i="4" s="1"/>
  <c r="E9" i="4"/>
  <c r="E17" i="4"/>
  <c r="E21" i="4"/>
  <c r="E25" i="4"/>
  <c r="E10" i="4"/>
  <c r="E18" i="4"/>
  <c r="E13" i="4"/>
  <c r="E14" i="4"/>
  <c r="E22" i="4"/>
  <c r="E26" i="4"/>
  <c r="E7" i="4"/>
  <c r="E11" i="4"/>
  <c r="E16" i="4"/>
  <c r="E15" i="4"/>
  <c r="E20" i="4"/>
  <c r="E19" i="4"/>
  <c r="E24" i="4"/>
  <c r="E23" i="4"/>
  <c r="E8" i="4"/>
  <c r="E12" i="4"/>
  <c r="H36" i="4"/>
  <c r="H119" i="4"/>
  <c r="H86" i="4"/>
  <c r="H101" i="4"/>
  <c r="H79" i="4"/>
  <c r="H117" i="4"/>
  <c r="H90" i="4"/>
  <c r="H34" i="4"/>
  <c r="H108" i="4"/>
  <c r="H76" i="4"/>
  <c r="H102" i="4"/>
  <c r="H46" i="4"/>
  <c r="H58" i="4"/>
  <c r="H100" i="4"/>
  <c r="H112" i="4"/>
  <c r="H14" i="4"/>
  <c r="H42" i="4"/>
  <c r="H116" i="4"/>
  <c r="H73" i="4"/>
  <c r="H92" i="4"/>
  <c r="H82" i="4"/>
  <c r="H41" i="4"/>
  <c r="H43" i="4"/>
  <c r="H17" i="4"/>
  <c r="H66" i="4"/>
  <c r="H33" i="4"/>
  <c r="H85" i="4"/>
  <c r="H7" i="4"/>
  <c r="H63" i="4"/>
  <c r="H65" i="4"/>
  <c r="H35" i="4"/>
  <c r="H20" i="4"/>
  <c r="H106" i="4"/>
  <c r="H103" i="4"/>
  <c r="H51" i="4"/>
  <c r="H57" i="4"/>
  <c r="H13" i="4"/>
  <c r="H118" i="4"/>
  <c r="H44" i="4"/>
  <c r="H75" i="4"/>
  <c r="H48" i="4"/>
  <c r="H15" i="4"/>
  <c r="H71" i="4"/>
  <c r="H111" i="4"/>
  <c r="H19" i="4"/>
  <c r="H21" i="4"/>
  <c r="H83" i="4"/>
  <c r="H53" i="4"/>
  <c r="H31" i="4"/>
  <c r="H89" i="4"/>
  <c r="H84" i="4"/>
  <c r="H54" i="4"/>
  <c r="H95" i="4"/>
  <c r="H74" i="4"/>
  <c r="H24" i="4"/>
  <c r="H96" i="4"/>
  <c r="H72" i="4"/>
  <c r="H98" i="4"/>
  <c r="H12" i="4"/>
  <c r="H91" i="4"/>
  <c r="H37" i="4"/>
  <c r="H88" i="4"/>
  <c r="H8" i="4"/>
  <c r="H110" i="4"/>
  <c r="H18" i="4"/>
  <c r="H32" i="4"/>
  <c r="H49" i="4"/>
  <c r="H115" i="4"/>
  <c r="H11" i="4"/>
  <c r="H30" i="4"/>
  <c r="H68" i="4"/>
  <c r="H61" i="4"/>
  <c r="H56" i="4"/>
  <c r="H70" i="4"/>
  <c r="H39" i="4"/>
  <c r="H94" i="4"/>
  <c r="H67" i="4"/>
  <c r="H27" i="4"/>
  <c r="H114" i="4"/>
  <c r="H45" i="4"/>
  <c r="H97" i="4"/>
  <c r="H10" i="4"/>
  <c r="H87" i="4"/>
  <c r="H113" i="4"/>
  <c r="H47" i="4"/>
  <c r="H23" i="4"/>
  <c r="H109" i="4"/>
  <c r="H99" i="4"/>
  <c r="H9" i="4"/>
  <c r="H59" i="4"/>
  <c r="H26" i="4"/>
  <c r="H69" i="4"/>
  <c r="H50" i="4"/>
  <c r="H16" i="4"/>
  <c r="H28" i="4"/>
  <c r="H80" i="4"/>
  <c r="H38" i="4"/>
  <c r="H81" i="4"/>
  <c r="H29" i="4"/>
  <c r="H60" i="4"/>
  <c r="H40" i="4"/>
  <c r="H104" i="4"/>
  <c r="H62" i="4"/>
  <c r="H93" i="4"/>
  <c r="H22" i="4"/>
  <c r="H52" i="4"/>
  <c r="H77" i="4"/>
  <c r="H55" i="4"/>
  <c r="H105" i="4"/>
  <c r="H25" i="4"/>
  <c r="H64" i="4"/>
  <c r="H78" i="4"/>
  <c r="H107" i="4"/>
  <c r="D2" i="3"/>
  <c r="D4" i="3" s="1"/>
  <c r="E24" i="3" l="1"/>
  <c r="E20" i="3"/>
  <c r="E9" i="3"/>
  <c r="E25" i="3"/>
  <c r="E19" i="3"/>
  <c r="E7" i="3"/>
  <c r="E18" i="3"/>
  <c r="E12" i="3"/>
  <c r="E16" i="3"/>
  <c r="E26" i="3"/>
  <c r="E15" i="3"/>
  <c r="E17" i="3"/>
  <c r="E23" i="3"/>
  <c r="E10" i="3"/>
  <c r="E22" i="3"/>
  <c r="E8" i="3"/>
  <c r="E13" i="3"/>
  <c r="E14" i="3"/>
  <c r="E11" i="3"/>
  <c r="E21" i="3"/>
</calcChain>
</file>

<file path=xl/sharedStrings.xml><?xml version="1.0" encoding="utf-8"?>
<sst xmlns="http://schemas.openxmlformats.org/spreadsheetml/2006/main" count="185" uniqueCount="33">
  <si>
    <t>Scholar 1</t>
  </si>
  <si>
    <t>Scholar 2</t>
  </si>
  <si>
    <t>Scholar 3</t>
  </si>
  <si>
    <t>Scholar 4</t>
  </si>
  <si>
    <t>Scholar 5</t>
  </si>
  <si>
    <t>Scholar 6</t>
  </si>
  <si>
    <t>Scholar 7</t>
  </si>
  <si>
    <t>Scholar 8</t>
  </si>
  <si>
    <t>Scholar 9</t>
  </si>
  <si>
    <t>Scholar 10</t>
  </si>
  <si>
    <t>Scholar 11</t>
  </si>
  <si>
    <t>Scholar 12</t>
  </si>
  <si>
    <t>Scholar 13</t>
  </si>
  <si>
    <t>Scholar 14</t>
  </si>
  <si>
    <t>Scholar 15</t>
  </si>
  <si>
    <t>Scholar 16</t>
  </si>
  <si>
    <t>Scholar 17</t>
  </si>
  <si>
    <t>Scholar 18</t>
  </si>
  <si>
    <t>Scholar 19</t>
  </si>
  <si>
    <t>Scholar 20</t>
  </si>
  <si>
    <t>Mean</t>
  </si>
  <si>
    <t>Name</t>
  </si>
  <si>
    <t>Work ex</t>
  </si>
  <si>
    <t>Median</t>
  </si>
  <si>
    <t>Range</t>
  </si>
  <si>
    <t>Sq (X - Mean)</t>
  </si>
  <si>
    <t>X - Mean</t>
  </si>
  <si>
    <r>
      <rPr>
        <b/>
        <sz val="11"/>
        <color theme="1"/>
        <rFont val="Aptos Narrow"/>
        <family val="2"/>
      </rPr>
      <t>∑</t>
    </r>
    <r>
      <rPr>
        <b/>
        <sz val="11"/>
        <color theme="1"/>
        <rFont val="Calibri"/>
        <family val="2"/>
      </rPr>
      <t xml:space="preserve"> (X - Mean)</t>
    </r>
    <r>
      <rPr>
        <b/>
        <vertAlign val="superscript"/>
        <sz val="11"/>
        <color theme="1"/>
        <rFont val="Calibri"/>
        <family val="2"/>
      </rPr>
      <t>2</t>
    </r>
  </si>
  <si>
    <t>n - 1</t>
  </si>
  <si>
    <r>
      <t>St Dev, s</t>
    </r>
    <r>
      <rPr>
        <b/>
        <vertAlign val="subscript"/>
        <sz val="11"/>
        <color theme="1"/>
        <rFont val="Calibri"/>
        <family val="2"/>
      </rPr>
      <t>x</t>
    </r>
  </si>
  <si>
    <t>Z- score</t>
  </si>
  <si>
    <t>X-values</t>
  </si>
  <si>
    <t>Normal Distribution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</si>
</sst>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E+00"/>
    <numFmt numFmtId="171" formatCode="0.000000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theme="1"/>
      <name val="Aptos Narrow"/>
      <family val="2"/>
    </font>
    <font>
      <b/>
      <vertAlign val="superscript"/>
      <sz val="11"/>
      <color theme="1"/>
      <name val="Calibri"/>
      <family val="2"/>
    </font>
    <font>
      <b/>
      <vertAlign val="subscript"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right"/>
    </xf>
    <xf numFmtId="0" fontId="3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2" fontId="3" fillId="2" borderId="1" xfId="0" applyNumberFormat="1" applyFont="1" applyFill="1" applyBorder="1" applyAlignment="1">
      <alignment horizontal="center" vertical="center"/>
    </xf>
    <xf numFmtId="2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 vertical="center"/>
    </xf>
    <xf numFmtId="171" fontId="0" fillId="0" borderId="0" xfId="0" applyNumberFormat="1"/>
  </cellXfs>
  <cellStyles count="1">
    <cellStyle name="Normal" xfId="0" builtinId="0"/>
  </cellStyles>
  <dxfs count="20">
    <dxf>
      <numFmt numFmtId="171" formatCode="0.00000000"/>
    </dxf>
    <dxf>
      <numFmt numFmtId="2" formatCode="0.00"/>
    </dxf>
    <dxf>
      <numFmt numFmtId="0" formatCode="General"/>
    </dxf>
    <dxf>
      <numFmt numFmtId="0" formatCode="General"/>
    </dxf>
    <dxf>
      <numFmt numFmtId="164" formatCode="0.0E+00"/>
    </dxf>
    <dxf>
      <alignment horizontal="general" vertical="bottom" textRotation="0" wrapText="0" indent="0" justifyLastLine="0" shrinkToFit="0" readingOrder="0"/>
    </dxf>
    <dxf>
      <numFmt numFmtId="2" formatCode="0.00"/>
    </dxf>
    <dxf>
      <numFmt numFmtId="0" formatCode="General"/>
    </dxf>
    <dxf>
      <numFmt numFmtId="0" formatCode="General"/>
    </dxf>
    <dxf>
      <numFmt numFmtId="164" formatCode="0.0E+00"/>
    </dxf>
    <dxf>
      <alignment horizontal="general" vertical="bottom" textRotation="0" wrapText="0" indent="0" justifyLastLine="0" shrinkToFit="0" readingOrder="0"/>
    </dxf>
    <dxf>
      <numFmt numFmtId="2" formatCode="0.00"/>
    </dxf>
    <dxf>
      <numFmt numFmtId="0" formatCode="General"/>
    </dxf>
    <dxf>
      <numFmt numFmtId="0" formatCode="General"/>
    </dxf>
    <dxf>
      <alignment horizontal="general" vertical="bottom" textRotation="0" wrapText="0" indent="0" justifyLastLine="0" shrinkToFit="0" readingOrder="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Distribution of Work experience of Ph D Scholars</a:t>
            </a:r>
          </a:p>
        </c:rich>
      </c:tx>
      <c:layout>
        <c:manualLayout>
          <c:xMode val="edge"/>
          <c:yMode val="edge"/>
          <c:x val="0.10376588125725272"/>
          <c:y val="6.01853274438256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Distribution!$G$7:$G$119</c:f>
              <c:numCache>
                <c:formatCode>General</c:formatCode>
                <c:ptCount val="113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</c:numCache>
            </c:numRef>
          </c:xVal>
          <c:yVal>
            <c:numRef>
              <c:f>Distribution!$H$7:$H$119</c:f>
              <c:numCache>
                <c:formatCode>0.00000000</c:formatCode>
                <c:ptCount val="113"/>
                <c:pt idx="0">
                  <c:v>6.0646025799931109E-5</c:v>
                </c:pt>
                <c:pt idx="1">
                  <c:v>7.72745770892787E-5</c:v>
                </c:pt>
                <c:pt idx="2">
                  <c:v>9.8028891475794569E-5</c:v>
                </c:pt>
                <c:pt idx="3">
                  <c:v>1.2380971115286254E-4</c:v>
                </c:pt>
                <c:pt idx="4">
                  <c:v>1.5568203264808018E-4</c:v>
                </c:pt>
                <c:pt idx="5">
                  <c:v>1.9489712839375456E-4</c:v>
                </c:pt>
                <c:pt idx="6">
                  <c:v>2.4291568131229346E-4</c:v>
                </c:pt>
                <c:pt idx="7">
                  <c:v>3.0143163318942272E-4</c:v>
                </c:pt>
                <c:pt idx="8">
                  <c:v>3.7239622162207615E-4</c:v>
                </c:pt>
                <c:pt idx="9">
                  <c:v>4.5804154336774177E-4</c:v>
                </c:pt>
                <c:pt idx="10">
                  <c:v>5.6090283731247625E-4</c:v>
                </c:pt>
                <c:pt idx="11">
                  <c:v>6.8383853253070658E-4</c:v>
                </c:pt>
                <c:pt idx="12">
                  <c:v>8.3004696178250669E-4</c:v>
                </c:pt>
                <c:pt idx="13">
                  <c:v>1.0030785052554997E-3</c:v>
                </c:pt>
                <c:pt idx="14">
                  <c:v>1.2068418115115589E-3</c:v>
                </c:pt>
                <c:pt idx="15">
                  <c:v>1.4456026514994317E-3</c:v>
                </c:pt>
                <c:pt idx="16">
                  <c:v>1.7239739068814072E-3</c:v>
                </c:pt>
                <c:pt idx="17">
                  <c:v>2.0468951858442471E-3</c:v>
                </c:pt>
                <c:pt idx="18">
                  <c:v>2.4196006079140833E-3</c:v>
                </c:pt>
                <c:pt idx="19">
                  <c:v>2.847573413252054E-3</c:v>
                </c:pt>
                <c:pt idx="20">
                  <c:v>3.336486239312866E-3</c:v>
                </c:pt>
                <c:pt idx="21">
                  <c:v>3.8921261744304619E-3</c:v>
                </c:pt>
                <c:pt idx="22">
                  <c:v>4.5203040469826029E-3</c:v>
                </c:pt>
                <c:pt idx="23">
                  <c:v>5.2267478400479517E-3</c:v>
                </c:pt>
                <c:pt idx="24">
                  <c:v>6.0169806307263513E-3</c:v>
                </c:pt>
                <c:pt idx="25">
                  <c:v>6.8961840319500117E-3</c:v>
                </c:pt>
                <c:pt idx="26">
                  <c:v>7.8690487493659114E-3</c:v>
                </c:pt>
                <c:pt idx="27">
                  <c:v>8.9396145386231064E-3</c:v>
                </c:pt>
                <c:pt idx="28">
                  <c:v>1.0111102536451954E-2</c:v>
                </c:pt>
                <c:pt idx="29">
                  <c:v>1.138574361543662E-2</c:v>
                </c:pt>
                <c:pt idx="30">
                  <c:v>1.2764607047152241E-2</c:v>
                </c:pt>
                <c:pt idx="31">
                  <c:v>1.4247434318870385E-2</c:v>
                </c:pt>
                <c:pt idx="32">
                  <c:v>1.5832483401898457E-2</c:v>
                </c:pt>
                <c:pt idx="33">
                  <c:v>1.7516389082033811E-2</c:v>
                </c:pt>
                <c:pt idx="34">
                  <c:v>1.9294045104216933E-2</c:v>
                </c:pt>
                <c:pt idx="35">
                  <c:v>2.1158513828157026E-2</c:v>
                </c:pt>
                <c:pt idx="36">
                  <c:v>2.3100968819469603E-2</c:v>
                </c:pt>
                <c:pt idx="37">
                  <c:v>2.5110675299498918E-2</c:v>
                </c:pt>
                <c:pt idx="38">
                  <c:v>2.7175012643556113E-2</c:v>
                </c:pt>
                <c:pt idx="39">
                  <c:v>2.9279542159214342E-2</c:v>
                </c:pt>
                <c:pt idx="40">
                  <c:v>3.1408122212013896E-2</c:v>
                </c:pt>
                <c:pt idx="41">
                  <c:v>3.3543071425018632E-2</c:v>
                </c:pt>
                <c:pt idx="42">
                  <c:v>3.5665379201332233E-2</c:v>
                </c:pt>
                <c:pt idx="43">
                  <c:v>3.7754961254642311E-2</c:v>
                </c:pt>
                <c:pt idx="44">
                  <c:v>3.9790956239602208E-2</c:v>
                </c:pt>
                <c:pt idx="45">
                  <c:v>4.17520580143627E-2</c:v>
                </c:pt>
                <c:pt idx="46">
                  <c:v>4.3616876607546075E-2</c:v>
                </c:pt>
                <c:pt idx="47">
                  <c:v>4.5364319666775836E-2</c:v>
                </c:pt>
                <c:pt idx="48">
                  <c:v>4.697398509729124E-2</c:v>
                </c:pt>
                <c:pt idx="49">
                  <c:v>4.8426554812064648E-2</c:v>
                </c:pt>
                <c:pt idx="50">
                  <c:v>4.9704179054151157E-2</c:v>
                </c:pt>
                <c:pt idx="51">
                  <c:v>5.0790840650066636E-2</c:v>
                </c:pt>
                <c:pt idx="52">
                  <c:v>5.1672688827414985E-2</c:v>
                </c:pt>
                <c:pt idx="53">
                  <c:v>5.233833288221653E-2</c:v>
                </c:pt>
                <c:pt idx="54">
                  <c:v>5.2779086996121917E-2</c:v>
                </c:pt>
                <c:pt idx="55">
                  <c:v>5.2989158849136402E-2</c:v>
                </c:pt>
                <c:pt idx="56">
                  <c:v>5.2965776302500094E-2</c:v>
                </c:pt>
                <c:pt idx="57">
                  <c:v>5.2709248278502589E-2</c:v>
                </c:pt>
                <c:pt idx="58">
                  <c:v>5.2222957968174034E-2</c:v>
                </c:pt>
                <c:pt idx="59">
                  <c:v>5.1513288575626398E-2</c:v>
                </c:pt>
                <c:pt idx="60">
                  <c:v>5.0589483877412418E-2</c:v>
                </c:pt>
                <c:pt idx="61">
                  <c:v>4.9463447855115035E-2</c:v>
                </c:pt>
                <c:pt idx="62">
                  <c:v>4.8149489472281592E-2</c:v>
                </c:pt>
                <c:pt idx="63">
                  <c:v>4.666402024356793E-2</c:v>
                </c:pt>
                <c:pt idx="64">
                  <c:v>4.5025213526559069E-2</c:v>
                </c:pt>
                <c:pt idx="65">
                  <c:v>4.3252635410992356E-2</c:v>
                </c:pt>
                <c:pt idx="66">
                  <c:v>4.136685765746554E-2</c:v>
                </c:pt>
                <c:pt idx="67">
                  <c:v>3.9389063336218028E-2</c:v>
                </c:pt>
                <c:pt idx="68">
                  <c:v>3.7340655640984641E-2</c:v>
                </c:pt>
                <c:pt idx="69">
                  <c:v>3.524287982392315E-2</c:v>
                </c:pt>
                <c:pt idx="70">
                  <c:v>3.3116467350255793E-2</c:v>
                </c:pt>
                <c:pt idx="71">
                  <c:v>3.0981310252705771E-2</c:v>
                </c:pt>
                <c:pt idx="72">
                  <c:v>2.8856172332559119E-2</c:v>
                </c:pt>
                <c:pt idx="73">
                  <c:v>2.6758442368980149E-2</c:v>
                </c:pt>
                <c:pt idx="74">
                  <c:v>2.4703932926746552E-2</c:v>
                </c:pt>
                <c:pt idx="75">
                  <c:v>2.2706726760255869E-2</c:v>
                </c:pt>
                <c:pt idx="76">
                  <c:v>2.0779071260576008E-2</c:v>
                </c:pt>
                <c:pt idx="77">
                  <c:v>1.8931319938570335E-2</c:v>
                </c:pt>
                <c:pt idx="78">
                  <c:v>1.7171918628652003E-2</c:v>
                </c:pt>
                <c:pt idx="79">
                  <c:v>1.5507432972661227E-2</c:v>
                </c:pt>
                <c:pt idx="80">
                  <c:v>1.3942612829080287E-2</c:v>
                </c:pt>
                <c:pt idx="81">
                  <c:v>1.2480488565524833E-2</c:v>
                </c:pt>
                <c:pt idx="82">
                  <c:v>1.1122493737460151E-2</c:v>
                </c:pt>
                <c:pt idx="83">
                  <c:v>9.8686084284911706E-3</c:v>
                </c:pt>
                <c:pt idx="84">
                  <c:v>8.7175175134684146E-3</c:v>
                </c:pt>
                <c:pt idx="85">
                  <c:v>7.6667782836693094E-3</c:v>
                </c:pt>
                <c:pt idx="86">
                  <c:v>6.7129922163514568E-3</c:v>
                </c:pt>
                <c:pt idx="87">
                  <c:v>5.8519761480382675E-3</c:v>
                </c:pt>
                <c:pt idx="88">
                  <c:v>5.0789286889430692E-3</c:v>
                </c:pt>
                <c:pt idx="89">
                  <c:v>4.3885883616009641E-3</c:v>
                </c:pt>
                <c:pt idx="90">
                  <c:v>3.7753806279220391E-3</c:v>
                </c:pt>
                <c:pt idx="91">
                  <c:v>3.2335516558967925E-3</c:v>
                </c:pt>
                <c:pt idx="92">
                  <c:v>2.7572873440114194E-3</c:v>
                </c:pt>
                <c:pt idx="93">
                  <c:v>2.3408167462591594E-3</c:v>
                </c:pt>
                <c:pt idx="94">
                  <c:v>1.9784996063221035E-3</c:v>
                </c:pt>
                <c:pt idx="95">
                  <c:v>1.6648982036965468E-3</c:v>
                </c:pt>
                <c:pt idx="96">
                  <c:v>1.3948341295624545E-3</c:v>
                </c:pt>
                <c:pt idx="97">
                  <c:v>1.1634309427058487E-3</c:v>
                </c:pt>
                <c:pt idx="98">
                  <c:v>9.6614390628323025E-4</c:v>
                </c:pt>
                <c:pt idx="99">
                  <c:v>7.9877817839222882E-4</c:v>
                </c:pt>
                <c:pt idx="100">
                  <c:v>6.5749692956867999E-4</c:v>
                </c:pt>
                <c:pt idx="101">
                  <c:v>5.3882089662844355E-4</c:v>
                </c:pt>
                <c:pt idx="102">
                  <c:v>4.3962086408350797E-4</c:v>
                </c:pt>
                <c:pt idx="103">
                  <c:v>3.5710450165158753E-4</c:v>
                </c:pt>
                <c:pt idx="104">
                  <c:v>2.8879888916784438E-4</c:v>
                </c:pt>
                <c:pt idx="105">
                  <c:v>2.3252993812479056E-4</c:v>
                </c:pt>
                <c:pt idx="106">
                  <c:v>1.8639978099610179E-4</c:v>
                </c:pt>
                <c:pt idx="107">
                  <c:v>1.4876305332981975E-4</c:v>
                </c:pt>
                <c:pt idx="108">
                  <c:v>1.1820284605889542E-4</c:v>
                </c:pt>
                <c:pt idx="109">
                  <c:v>9.3506962075270736E-5</c:v>
                </c:pt>
                <c:pt idx="110">
                  <c:v>7.3644976119153553E-5</c:v>
                </c:pt>
                <c:pt idx="111">
                  <c:v>5.7746473544197018E-5</c:v>
                </c:pt>
                <c:pt idx="112">
                  <c:v>4.5080733553903745E-5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41A-4181-AC59-B99767DF05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8675120"/>
        <c:axId val="928667920"/>
      </c:scatterChart>
      <c:valAx>
        <c:axId val="92867512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28667920"/>
        <c:crosses val="autoZero"/>
        <c:crossBetween val="midCat"/>
      </c:valAx>
      <c:valAx>
        <c:axId val="928667920"/>
        <c:scaling>
          <c:orientation val="minMax"/>
        </c:scaling>
        <c:delete val="1"/>
        <c:axPos val="l"/>
        <c:numFmt formatCode="0.00000000" sourceLinked="1"/>
        <c:majorTickMark val="none"/>
        <c:minorTickMark val="none"/>
        <c:tickLblPos val="nextTo"/>
        <c:crossAx val="9286751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Distribution of Work experience of Ph D Scholars</a:t>
            </a:r>
          </a:p>
        </c:rich>
      </c:tx>
      <c:layout>
        <c:manualLayout>
          <c:xMode val="edge"/>
          <c:yMode val="edge"/>
          <c:x val="0.14171654539387513"/>
          <c:y val="6.01853274438256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'Right tailed'!$G$7:$G$119</c:f>
              <c:numCache>
                <c:formatCode>General</c:formatCode>
                <c:ptCount val="113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</c:numCache>
            </c:numRef>
          </c:xVal>
          <c:yVal>
            <c:numRef>
              <c:f>'Right tailed'!$H$7:$H$119</c:f>
              <c:numCache>
                <c:formatCode>0.0E+00</c:formatCode>
                <c:ptCount val="113"/>
                <c:pt idx="0">
                  <c:v>0</c:v>
                </c:pt>
                <c:pt idx="1">
                  <c:v>0.23276569492600568</c:v>
                </c:pt>
                <c:pt idx="2">
                  <c:v>0.86687789975018159</c:v>
                </c:pt>
                <c:pt idx="3">
                  <c:v>1.8160149307621258</c:v>
                </c:pt>
                <c:pt idx="4">
                  <c:v>3.005909172301144</c:v>
                </c:pt>
                <c:pt idx="5">
                  <c:v>4.3729533585945646</c:v>
                </c:pt>
                <c:pt idx="6">
                  <c:v>5.8629515177795</c:v>
                </c:pt>
                <c:pt idx="7">
                  <c:v>7.4300005814797592</c:v>
                </c:pt>
                <c:pt idx="8">
                  <c:v>9.0354899521241485</c:v>
                </c:pt>
                <c:pt idx="9">
                  <c:v>10.647207494622041</c:v>
                </c:pt>
                <c:pt idx="10">
                  <c:v>12.238541488923827</c:v>
                </c:pt>
                <c:pt idx="11">
                  <c:v>13.787769054422521</c:v>
                </c:pt>
                <c:pt idx="12">
                  <c:v>15.277422444370199</c:v>
                </c:pt>
                <c:pt idx="13">
                  <c:v>16.693725416060989</c:v>
                </c:pt>
                <c:pt idx="14">
                  <c:v>18.026092617400675</c:v>
                </c:pt>
                <c:pt idx="15">
                  <c:v>19.266685598983816</c:v>
                </c:pt>
                <c:pt idx="16">
                  <c:v>20.410019668734108</c:v>
                </c:pt>
                <c:pt idx="17">
                  <c:v>21.452616358840501</c:v>
                </c:pt>
                <c:pt idx="18">
                  <c:v>22.392696776994711</c:v>
                </c:pt>
                <c:pt idx="19">
                  <c:v>23.229911570244266</c:v>
                </c:pt>
                <c:pt idx="20">
                  <c:v>23.965103644177578</c:v>
                </c:pt>
                <c:pt idx="21">
                  <c:v>24.600100156364388</c:v>
                </c:pt>
                <c:pt idx="22">
                  <c:v>25.137530644375705</c:v>
                </c:pt>
                <c:pt idx="23">
                  <c:v>25.580668458401913</c:v>
                </c:pt>
                <c:pt idx="24">
                  <c:v>25.933292949305148</c:v>
                </c:pt>
                <c:pt idx="25">
                  <c:v>26.199570117468291</c:v>
                </c:pt>
                <c:pt idx="26">
                  <c:v>26.383949658399111</c:v>
                </c:pt>
                <c:pt idx="27">
                  <c:v>26.491076549868545</c:v>
                </c:pt>
                <c:pt idx="28">
                  <c:v>26.525715514376088</c:v>
                </c:pt>
                <c:pt idx="29">
                  <c:v>26.492686861736061</c:v>
                </c:pt>
                <c:pt idx="30">
                  <c:v>26.396812371206426</c:v>
                </c:pt>
                <c:pt idx="31">
                  <c:v>26.242870012329121</c:v>
                </c:pt>
                <c:pt idx="32">
                  <c:v>26.035556429882071</c:v>
                </c:pt>
                <c:pt idx="33">
                  <c:v>25.779456232298262</c:v>
                </c:pt>
                <c:pt idx="34">
                  <c:v>25.479017225721304</c:v>
                </c:pt>
                <c:pt idx="35">
                  <c:v>25.138530828569007</c:v>
                </c:pt>
                <c:pt idx="36">
                  <c:v>24.762116985008856</c:v>
                </c:pt>
                <c:pt idx="37">
                  <c:v>24.353712970966047</c:v>
                </c:pt>
                <c:pt idx="38">
                  <c:v>23.917065553966463</c:v>
                </c:pt>
                <c:pt idx="39">
                  <c:v>23.45572602897289</c:v>
                </c:pt>
                <c:pt idx="40">
                  <c:v>22.973047707046941</c:v>
                </c:pt>
                <c:pt idx="41">
                  <c:v>22.472185482751314</c:v>
                </c:pt>
                <c:pt idx="42">
                  <c:v>21.956097150228</c:v>
                </c:pt>
                <c:pt idx="43">
                  <c:v>21.427546177335675</c:v>
                </c:pt>
                <c:pt idx="44">
                  <c:v>20.889105682543061</c:v>
                </c:pt>
                <c:pt idx="45">
                  <c:v>20.343163390856024</c:v>
                </c:pt>
                <c:pt idx="46">
                  <c:v>19.791927373268159</c:v>
                </c:pt>
                <c:pt idx="47">
                  <c:v>19.237432399397026</c:v>
                </c:pt>
                <c:pt idx="48">
                  <c:v>18.681546755402223</c:v>
                </c:pt>
                <c:pt idx="49">
                  <c:v>18.125979399246681</c:v>
                </c:pt>
                <c:pt idx="50">
                  <c:v>17.572287343107522</c:v>
                </c:pt>
                <c:pt idx="51">
                  <c:v>17.021883168488543</c:v>
                </c:pt>
                <c:pt idx="52">
                  <c:v>16.476042593537009</c:v>
                </c:pt>
                <c:pt idx="53">
                  <c:v>15.935912024404658</c:v>
                </c:pt>
                <c:pt idx="54">
                  <c:v>15.402516033382611</c:v>
                </c:pt>
                <c:pt idx="55">
                  <c:v>14.876764716132687</c:v>
                </c:pt>
                <c:pt idx="56">
                  <c:v>14.359460888767597</c:v>
                </c:pt>
                <c:pt idx="57">
                  <c:v>13.851307092923509</c:v>
                </c:pt>
                <c:pt idx="58">
                  <c:v>13.352912383429301</c:v>
                </c:pt>
                <c:pt idx="59">
                  <c:v>12.864798878809006</c:v>
                </c:pt>
                <c:pt idx="60">
                  <c:v>12.387408059745361</c:v>
                </c:pt>
                <c:pt idx="61">
                  <c:v>11.921106804866085</c:v>
                </c:pt>
                <c:pt idx="62">
                  <c:v>11.466193156861653</c:v>
                </c:pt>
                <c:pt idx="63">
                  <c:v>11.022901815070929</c:v>
                </c:pt>
                <c:pt idx="64">
                  <c:v>10.591409353337088</c:v>
                </c:pt>
                <c:pt idx="65">
                  <c:v>10.171839164194974</c:v>
                </c:pt>
                <c:pt idx="66">
                  <c:v>9.7642661323486735</c:v>
                </c:pt>
                <c:pt idx="67">
                  <c:v>9.3687210419784961</c:v>
                </c:pt>
                <c:pt idx="68">
                  <c:v>8.9851947237176883</c:v>
                </c:pt>
                <c:pt idx="69">
                  <c:v>8.6136419481948554</c:v>
                </c:pt>
                <c:pt idx="70">
                  <c:v>8.2539850738796972</c:v>
                </c:pt>
                <c:pt idx="71">
                  <c:v>7.9061174576239042</c:v>
                </c:pt>
                <c:pt idx="72">
                  <c:v>7.569906636781039</c:v>
                </c:pt>
                <c:pt idx="73">
                  <c:v>7.2451972921399914</c:v>
                </c:pt>
                <c:pt idx="74">
                  <c:v>6.9318140011360079</c:v>
                </c:pt>
                <c:pt idx="75">
                  <c:v>6.6295637909286684</c:v>
                </c:pt>
                <c:pt idx="76">
                  <c:v>6.338238500972067</c:v>
                </c:pt>
                <c:pt idx="77">
                  <c:v>6.0576169646633629</c:v>
                </c:pt>
                <c:pt idx="78">
                  <c:v>5.7874670195527829</c:v>
                </c:pt>
                <c:pt idx="79">
                  <c:v>5.5275473554425556</c:v>
                </c:pt>
                <c:pt idx="80">
                  <c:v>5.277609209502546</c:v>
                </c:pt>
                <c:pt idx="81">
                  <c:v>5.037397917295265</c:v>
                </c:pt>
                <c:pt idx="82">
                  <c:v>4.8066543283395973</c:v>
                </c:pt>
                <c:pt idx="83">
                  <c:v>4.5851160945567226</c:v>
                </c:pt>
                <c:pt idx="84">
                  <c:v>4.3725188396394561</c:v>
                </c:pt>
                <c:pt idx="85">
                  <c:v>4.1685972170716559</c:v>
                </c:pt>
                <c:pt idx="86">
                  <c:v>3.9730858642020777</c:v>
                </c:pt>
                <c:pt idx="87">
                  <c:v>3.7857202594500747</c:v>
                </c:pt>
                <c:pt idx="88">
                  <c:v>3.6062374893921714</c:v>
                </c:pt>
                <c:pt idx="89">
                  <c:v>3.4343769321513551</c:v>
                </c:pt>
                <c:pt idx="90">
                  <c:v>3.269880863186684</c:v>
                </c:pt>
                <c:pt idx="91">
                  <c:v>3.112494989261819</c:v>
                </c:pt>
                <c:pt idx="92">
                  <c:v>2.9619689160583853</c:v>
                </c:pt>
                <c:pt idx="93">
                  <c:v>2.8180565545952154</c:v>
                </c:pt>
                <c:pt idx="94">
                  <c:v>2.6805164713182101</c:v>
                </c:pt>
                <c:pt idx="95">
                  <c:v>2.5491121864386899</c:v>
                </c:pt>
                <c:pt idx="96">
                  <c:v>2.4236124248213837</c:v>
                </c:pt>
                <c:pt idx="97">
                  <c:v>2.3037913234567058</c:v>
                </c:pt>
                <c:pt idx="98">
                  <c:v>2.1894285992963933</c:v>
                </c:pt>
                <c:pt idx="99">
                  <c:v>2.0803096809867347</c:v>
                </c:pt>
                <c:pt idx="100">
                  <c:v>1.9762258077999153</c:v>
                </c:pt>
                <c:pt idx="101">
                  <c:v>1.8769740988410712</c:v>
                </c:pt>
                <c:pt idx="102">
                  <c:v>1.7823575953966846</c:v>
                </c:pt>
                <c:pt idx="103">
                  <c:v>1.6921852790887058</c:v>
                </c:pt>
                <c:pt idx="104">
                  <c:v>1.6062720683079628</c:v>
                </c:pt>
                <c:pt idx="105">
                  <c:v>1.5244387952199665</c:v>
                </c:pt>
                <c:pt idx="106">
                  <c:v>1.4465121654656601</c:v>
                </c:pt>
                <c:pt idx="107">
                  <c:v>1.372324702518892</c:v>
                </c:pt>
                <c:pt idx="108">
                  <c:v>1.3017146785108828</c:v>
                </c:pt>
                <c:pt idx="109">
                  <c:v>1.2345260331895325</c:v>
                </c:pt>
                <c:pt idx="110">
                  <c:v>1.1706082825476785</c:v>
                </c:pt>
                <c:pt idx="111">
                  <c:v>1.1098164185289334</c:v>
                </c:pt>
                <c:pt idx="112">
                  <c:v>1.0520108011022771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008-4335-B560-179E4A8D1A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8675120"/>
        <c:axId val="928667920"/>
      </c:scatterChart>
      <c:valAx>
        <c:axId val="92867512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28667920"/>
        <c:crosses val="autoZero"/>
        <c:crossBetween val="midCat"/>
      </c:valAx>
      <c:valAx>
        <c:axId val="928667920"/>
        <c:scaling>
          <c:orientation val="minMax"/>
        </c:scaling>
        <c:delete val="1"/>
        <c:axPos val="l"/>
        <c:numFmt formatCode="0.0E+00" sourceLinked="1"/>
        <c:majorTickMark val="none"/>
        <c:minorTickMark val="none"/>
        <c:tickLblPos val="nextTo"/>
        <c:crossAx val="9286751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Distribution of Work experience of Ph D Scholars</a:t>
            </a:r>
          </a:p>
        </c:rich>
      </c:tx>
      <c:layout>
        <c:manualLayout>
          <c:xMode val="edge"/>
          <c:yMode val="edge"/>
          <c:x val="0.14171654539387513"/>
          <c:y val="6.01853274438256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'Left tailed'!$G$7:$G$119</c:f>
              <c:numCache>
                <c:formatCode>General</c:formatCode>
                <c:ptCount val="113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</c:numCache>
            </c:numRef>
          </c:xVal>
          <c:yVal>
            <c:numRef>
              <c:f>'Left tailed'!$H$7:$H$119</c:f>
              <c:numCache>
                <c:formatCode>0.0E+00</c:formatCode>
                <c:ptCount val="113"/>
                <c:pt idx="0">
                  <c:v>1.0520108011022771</c:v>
                </c:pt>
                <c:pt idx="1">
                  <c:v>1.1098164185289334</c:v>
                </c:pt>
                <c:pt idx="2">
                  <c:v>1.1706082825476785</c:v>
                </c:pt>
                <c:pt idx="3">
                  <c:v>1.2345260331895325</c:v>
                </c:pt>
                <c:pt idx="4">
                  <c:v>1.3017146785108828</c:v>
                </c:pt>
                <c:pt idx="5">
                  <c:v>1.372324702518892</c:v>
                </c:pt>
                <c:pt idx="6">
                  <c:v>1.4465121654656601</c:v>
                </c:pt>
                <c:pt idx="7">
                  <c:v>1.5244387952199665</c:v>
                </c:pt>
                <c:pt idx="8">
                  <c:v>1.6062720683079628</c:v>
                </c:pt>
                <c:pt idx="9">
                  <c:v>1.6921852790887058</c:v>
                </c:pt>
                <c:pt idx="10">
                  <c:v>1.7823575953966846</c:v>
                </c:pt>
                <c:pt idx="11">
                  <c:v>1.8769740988410712</c:v>
                </c:pt>
                <c:pt idx="12">
                  <c:v>1.9762258077999153</c:v>
                </c:pt>
                <c:pt idx="13">
                  <c:v>2.0803096809867347</c:v>
                </c:pt>
                <c:pt idx="14">
                  <c:v>2.1894285992963933</c:v>
                </c:pt>
                <c:pt idx="15">
                  <c:v>2.3037913234567058</c:v>
                </c:pt>
                <c:pt idx="16">
                  <c:v>2.4236124248213837</c:v>
                </c:pt>
                <c:pt idx="17">
                  <c:v>2.5491121864386899</c:v>
                </c:pt>
                <c:pt idx="18">
                  <c:v>2.6805164713182101</c:v>
                </c:pt>
                <c:pt idx="19">
                  <c:v>2.8180565545952154</c:v>
                </c:pt>
                <c:pt idx="20">
                  <c:v>2.9619689160583853</c:v>
                </c:pt>
                <c:pt idx="21">
                  <c:v>3.112494989261819</c:v>
                </c:pt>
                <c:pt idx="22">
                  <c:v>3.269880863186684</c:v>
                </c:pt>
                <c:pt idx="23">
                  <c:v>3.4343769321513551</c:v>
                </c:pt>
                <c:pt idx="24">
                  <c:v>3.6062374893921714</c:v>
                </c:pt>
                <c:pt idx="25">
                  <c:v>3.7857202594500747</c:v>
                </c:pt>
                <c:pt idx="26">
                  <c:v>3.9730858642020777</c:v>
                </c:pt>
                <c:pt idx="27">
                  <c:v>4.1685972170716559</c:v>
                </c:pt>
                <c:pt idx="28">
                  <c:v>4.3725188396394561</c:v>
                </c:pt>
                <c:pt idx="29">
                  <c:v>4.5851160945567226</c:v>
                </c:pt>
                <c:pt idx="30">
                  <c:v>4.8066543283395973</c:v>
                </c:pt>
                <c:pt idx="31">
                  <c:v>5.037397917295265</c:v>
                </c:pt>
                <c:pt idx="32">
                  <c:v>5.277609209502546</c:v>
                </c:pt>
                <c:pt idx="33">
                  <c:v>5.5275473554425556</c:v>
                </c:pt>
                <c:pt idx="34">
                  <c:v>5.7874670195527829</c:v>
                </c:pt>
                <c:pt idx="35">
                  <c:v>6.0576169646633629</c:v>
                </c:pt>
                <c:pt idx="36">
                  <c:v>6.338238500972067</c:v>
                </c:pt>
                <c:pt idx="37">
                  <c:v>6.6295637909286684</c:v>
                </c:pt>
                <c:pt idx="38">
                  <c:v>6.9318140011360079</c:v>
                </c:pt>
                <c:pt idx="39">
                  <c:v>7.2451972921399914</c:v>
                </c:pt>
                <c:pt idx="40">
                  <c:v>7.569906636781039</c:v>
                </c:pt>
                <c:pt idx="41">
                  <c:v>7.9061174576239042</c:v>
                </c:pt>
                <c:pt idx="42">
                  <c:v>8.2539850738796972</c:v>
                </c:pt>
                <c:pt idx="43">
                  <c:v>8.6136419481948554</c:v>
                </c:pt>
                <c:pt idx="44">
                  <c:v>8.9851947237176883</c:v>
                </c:pt>
                <c:pt idx="45">
                  <c:v>9.3687210419784961</c:v>
                </c:pt>
                <c:pt idx="46">
                  <c:v>9.7642661323486735</c:v>
                </c:pt>
                <c:pt idx="47">
                  <c:v>10.171839164194974</c:v>
                </c:pt>
                <c:pt idx="48">
                  <c:v>10.591409353337088</c:v>
                </c:pt>
                <c:pt idx="49">
                  <c:v>11.022901815070929</c:v>
                </c:pt>
                <c:pt idx="50">
                  <c:v>11.466193156861653</c:v>
                </c:pt>
                <c:pt idx="51">
                  <c:v>11.921106804866085</c:v>
                </c:pt>
                <c:pt idx="52">
                  <c:v>12.387408059745361</c:v>
                </c:pt>
                <c:pt idx="53">
                  <c:v>12.864798878809006</c:v>
                </c:pt>
                <c:pt idx="54">
                  <c:v>13.352912383429301</c:v>
                </c:pt>
                <c:pt idx="55">
                  <c:v>13.851307092923509</c:v>
                </c:pt>
                <c:pt idx="56">
                  <c:v>14.359460888767597</c:v>
                </c:pt>
                <c:pt idx="57">
                  <c:v>14.876764716132687</c:v>
                </c:pt>
                <c:pt idx="58">
                  <c:v>15.402516033382611</c:v>
                </c:pt>
                <c:pt idx="59">
                  <c:v>15.935912024404658</c:v>
                </c:pt>
                <c:pt idx="60">
                  <c:v>16.476042593537009</c:v>
                </c:pt>
                <c:pt idx="61">
                  <c:v>17.021883168488543</c:v>
                </c:pt>
                <c:pt idx="62">
                  <c:v>17.572287343107522</c:v>
                </c:pt>
                <c:pt idx="63">
                  <c:v>18.125979399246681</c:v>
                </c:pt>
                <c:pt idx="64">
                  <c:v>18.681546755402223</c:v>
                </c:pt>
                <c:pt idx="65">
                  <c:v>19.237432399397026</c:v>
                </c:pt>
                <c:pt idx="66">
                  <c:v>19.791927373268159</c:v>
                </c:pt>
                <c:pt idx="67">
                  <c:v>20.343163390856024</c:v>
                </c:pt>
                <c:pt idx="68">
                  <c:v>20.889105682543061</c:v>
                </c:pt>
                <c:pt idx="69">
                  <c:v>21.427546177335675</c:v>
                </c:pt>
                <c:pt idx="70">
                  <c:v>21.956097150228</c:v>
                </c:pt>
                <c:pt idx="71">
                  <c:v>22.472185482751314</c:v>
                </c:pt>
                <c:pt idx="72">
                  <c:v>22.973047707046941</c:v>
                </c:pt>
                <c:pt idx="73">
                  <c:v>23.45572602897289</c:v>
                </c:pt>
                <c:pt idx="74">
                  <c:v>23.917065553966463</c:v>
                </c:pt>
                <c:pt idx="75">
                  <c:v>24.353712970966047</c:v>
                </c:pt>
                <c:pt idx="76">
                  <c:v>24.762116985008856</c:v>
                </c:pt>
                <c:pt idx="77">
                  <c:v>25.138530828569007</c:v>
                </c:pt>
                <c:pt idx="78">
                  <c:v>25.479017225721304</c:v>
                </c:pt>
                <c:pt idx="79">
                  <c:v>25.779456232298262</c:v>
                </c:pt>
                <c:pt idx="80">
                  <c:v>26.035556429882071</c:v>
                </c:pt>
                <c:pt idx="81">
                  <c:v>26.242870012329121</c:v>
                </c:pt>
                <c:pt idx="82">
                  <c:v>26.396812371206426</c:v>
                </c:pt>
                <c:pt idx="83">
                  <c:v>26.492686861736061</c:v>
                </c:pt>
                <c:pt idx="84">
                  <c:v>26.525715514376088</c:v>
                </c:pt>
                <c:pt idx="85">
                  <c:v>26.491076549868545</c:v>
                </c:pt>
                <c:pt idx="86">
                  <c:v>26.383949658399111</c:v>
                </c:pt>
                <c:pt idx="87">
                  <c:v>26.199570117468291</c:v>
                </c:pt>
                <c:pt idx="88">
                  <c:v>25.933292949305148</c:v>
                </c:pt>
                <c:pt idx="89">
                  <c:v>25.580668458401913</c:v>
                </c:pt>
                <c:pt idx="90">
                  <c:v>25.137530644375705</c:v>
                </c:pt>
                <c:pt idx="91">
                  <c:v>24.600100156364388</c:v>
                </c:pt>
                <c:pt idx="92">
                  <c:v>23.965103644177578</c:v>
                </c:pt>
                <c:pt idx="93">
                  <c:v>23.229911570244266</c:v>
                </c:pt>
                <c:pt idx="94">
                  <c:v>22.392696776994711</c:v>
                </c:pt>
                <c:pt idx="95">
                  <c:v>21.452616358840501</c:v>
                </c:pt>
                <c:pt idx="96">
                  <c:v>20.410019668734108</c:v>
                </c:pt>
                <c:pt idx="97">
                  <c:v>19.266685598983816</c:v>
                </c:pt>
                <c:pt idx="98">
                  <c:v>18.026092617400675</c:v>
                </c:pt>
                <c:pt idx="99">
                  <c:v>16.693725416060989</c:v>
                </c:pt>
                <c:pt idx="100">
                  <c:v>15.277422444370199</c:v>
                </c:pt>
                <c:pt idx="101">
                  <c:v>13.787769054422521</c:v>
                </c:pt>
                <c:pt idx="102">
                  <c:v>12.238541488923827</c:v>
                </c:pt>
                <c:pt idx="103">
                  <c:v>10.647207494622041</c:v>
                </c:pt>
                <c:pt idx="104">
                  <c:v>9.0354899521241485</c:v>
                </c:pt>
                <c:pt idx="105">
                  <c:v>7.4300005814797592</c:v>
                </c:pt>
                <c:pt idx="106">
                  <c:v>5.8629515177795</c:v>
                </c:pt>
                <c:pt idx="107">
                  <c:v>4.3729533585945646</c:v>
                </c:pt>
                <c:pt idx="108">
                  <c:v>3.005909172301144</c:v>
                </c:pt>
                <c:pt idx="109">
                  <c:v>1.8160149307621258</c:v>
                </c:pt>
                <c:pt idx="110">
                  <c:v>0.86687789975018159</c:v>
                </c:pt>
                <c:pt idx="111">
                  <c:v>0.23276569492600568</c:v>
                </c:pt>
                <c:pt idx="11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7C7-4059-8353-1FF9B31A7E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8675120"/>
        <c:axId val="928667920"/>
      </c:scatterChart>
      <c:valAx>
        <c:axId val="92867512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28667920"/>
        <c:crosses val="autoZero"/>
        <c:crossBetween val="midCat"/>
      </c:valAx>
      <c:valAx>
        <c:axId val="928667920"/>
        <c:scaling>
          <c:orientation val="minMax"/>
        </c:scaling>
        <c:delete val="1"/>
        <c:axPos val="l"/>
        <c:numFmt formatCode="0.0E+00" sourceLinked="1"/>
        <c:majorTickMark val="none"/>
        <c:minorTickMark val="none"/>
        <c:tickLblPos val="nextTo"/>
        <c:crossAx val="9286751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587374</xdr:colOff>
      <xdr:row>0</xdr:row>
      <xdr:rowOff>165100</xdr:rowOff>
    </xdr:from>
    <xdr:to>
      <xdr:col>19</xdr:col>
      <xdr:colOff>120649</xdr:colOff>
      <xdr:row>17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C7A8D4-3F0A-4D07-B7F3-77DBCD505C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511174</xdr:colOff>
      <xdr:row>5</xdr:row>
      <xdr:rowOff>120650</xdr:rowOff>
    </xdr:from>
    <xdr:to>
      <xdr:col>19</xdr:col>
      <xdr:colOff>44449</xdr:colOff>
      <xdr:row>22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79E60D-74E0-4640-B146-0CCFB04DC3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450850</xdr:colOff>
      <xdr:row>0</xdr:row>
      <xdr:rowOff>114301</xdr:rowOff>
    </xdr:from>
    <xdr:to>
      <xdr:col>15</xdr:col>
      <xdr:colOff>571500</xdr:colOff>
      <xdr:row>3</xdr:row>
      <xdr:rowOff>180627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332ADFB-6A70-C2EC-9329-345A760FAD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23000" y="114301"/>
          <a:ext cx="1339850" cy="66322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511174</xdr:colOff>
      <xdr:row>5</xdr:row>
      <xdr:rowOff>120650</xdr:rowOff>
    </xdr:from>
    <xdr:to>
      <xdr:col>19</xdr:col>
      <xdr:colOff>44449</xdr:colOff>
      <xdr:row>22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BA354D-4DEB-463E-8C86-3F4853F3C1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565150</xdr:colOff>
      <xdr:row>0</xdr:row>
      <xdr:rowOff>133350</xdr:rowOff>
    </xdr:from>
    <xdr:to>
      <xdr:col>16</xdr:col>
      <xdr:colOff>234950</xdr:colOff>
      <xdr:row>4</xdr:row>
      <xdr:rowOff>16113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403B63E-01FB-A7E5-7987-3F651BB6AB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27700" y="133350"/>
          <a:ext cx="2108200" cy="695563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685FF5-B285-4230-A922-946069BABD19}" name="Table1" displayName="Table1" ref="A6:B26" totalsRowShown="0">
  <autoFilter ref="A6:B26" xr:uid="{D7685FF5-B285-4230-A922-946069BABD19}"/>
  <tableColumns count="2">
    <tableColumn id="1" xr3:uid="{03ECAEB1-45A7-424A-B215-5D3150895751}" name="Name"/>
    <tableColumn id="2" xr3:uid="{6A0A16F0-0AAA-4988-9974-BF57EF39CFCB}" name="Work ex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7E5DAE0-39FA-4B23-888B-7764FE4058C8}" name="Table13" displayName="Table13" ref="A6:D26" totalsRowShown="0">
  <autoFilter ref="A6:D26" xr:uid="{D7685FF5-B285-4230-A922-946069BABD19}"/>
  <tableColumns count="4">
    <tableColumn id="1" xr3:uid="{D6300CE7-9808-4960-A304-AB98C48124AE}" name="Name"/>
    <tableColumn id="2" xr3:uid="{D537B4D7-49E5-493D-91EC-A781B889F581}" name="Work ex"/>
    <tableColumn id="3" xr3:uid="{E078E097-7773-4E71-960C-02D1F4AFE524}" name="X - Mean" dataDxfId="19">
      <calculatedColumnFormula>Table13[[#This Row],[Work ex]]-$B$2</calculatedColumnFormula>
    </tableColumn>
    <tableColumn id="4" xr3:uid="{4C0D291F-893C-4638-8411-00276F2D209D}" name="Sq (X - Mean)" dataDxfId="18">
      <calculatedColumnFormula>Table13[[#This Row],[X - Mean]]^2</calculatedColumn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2F77F5B-A0B0-4A79-9B50-D3B26F2C3C79}" name="Table134" displayName="Table134" ref="A6:E26" totalsRowShown="0">
  <autoFilter ref="A6:E26" xr:uid="{D7685FF5-B285-4230-A922-946069BABD19}"/>
  <tableColumns count="5">
    <tableColumn id="1" xr3:uid="{C2EEA140-6BA0-468B-84C5-B0F57D9D296A}" name="Name"/>
    <tableColumn id="2" xr3:uid="{79D5EDC5-A554-4526-95F5-C422D45226CB}" name="Work ex"/>
    <tableColumn id="3" xr3:uid="{9E0ABCB3-A360-48FF-B6B4-BE255BABD559}" name="X - Mean" dataDxfId="17">
      <calculatedColumnFormula>Table134[[#This Row],[Work ex]]-$B$2</calculatedColumnFormula>
    </tableColumn>
    <tableColumn id="4" xr3:uid="{41137F9A-D51B-49C3-BC05-069F66FD47B3}" name="Sq (X - Mean)" dataDxfId="16">
      <calculatedColumnFormula>Table134[[#This Row],[X - Mean]]^2</calculatedColumnFormula>
    </tableColumn>
    <tableColumn id="5" xr3:uid="{540C4AD5-81E3-4EA1-A300-013DCBEA6E91}" name="Z- score" dataDxfId="15">
      <calculatedColumnFormula>Table134[[#This Row],[X - Mean]]/$D$4</calculatedColumnFormula>
    </tableColumn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5E6C782-0732-4225-8A69-F3B6CC3E943C}" name="Table47" displayName="Table47" ref="G6:H119" totalsRowShown="0" headerRowDxfId="14">
  <autoFilter ref="G6:H119" xr:uid="{BF81ADD9-2316-458F-AA7A-27229E506D72}"/>
  <tableColumns count="2">
    <tableColumn id="1" xr3:uid="{F957DE69-DAF1-4CE6-8C57-74574B2238EF}" name="X-values"/>
    <tableColumn id="2" xr3:uid="{C825753C-E211-4B1C-AF9D-D213A679F1D4}" name="Normal Distribution" dataDxfId="0">
      <calculatedColumnFormula>_xlfn.NORM.DIST(G7,$H$2,$J$4,FALSE)</calculatedColumnFormula>
    </tableColumn>
  </tableColumns>
  <tableStyleInfo name="TableStyleMedium1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BD3DF16-FC7A-4B16-866C-34D4BA4E21EE}" name="Table1346" displayName="Table1346" ref="A6:E26" totalsRowShown="0">
  <autoFilter ref="A6:E26" xr:uid="{D7685FF5-B285-4230-A922-946069BABD19}"/>
  <tableColumns count="5">
    <tableColumn id="1" xr3:uid="{BC1E734C-6B42-4544-A74D-1FD37939D852}" name="Name"/>
    <tableColumn id="2" xr3:uid="{95214B49-86EB-429C-8230-E5A19596294D}" name="Work ex"/>
    <tableColumn id="3" xr3:uid="{98BCA9D7-2F40-4FDC-AB3A-33950ECECDF7}" name="X - Mean" dataDxfId="13">
      <calculatedColumnFormula>Table1346[[#This Row],[Work ex]]-$H$2</calculatedColumnFormula>
    </tableColumn>
    <tableColumn id="4" xr3:uid="{88B33DA1-A8EB-48E3-AF7A-0A07AB29EF6A}" name="Sq (X - Mean)" dataDxfId="12">
      <calculatedColumnFormula>Table1346[[#This Row],[X - Mean]]^2</calculatedColumnFormula>
    </tableColumn>
    <tableColumn id="5" xr3:uid="{6AF64CBB-C252-4437-925B-BB4A4DD356D3}" name="Z- score" dataDxfId="11">
      <calculatedColumnFormula>Table1346[[#This Row],[X - Mean]]/$J$4</calculatedColumnFormula>
    </tableColumn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E317E93-D728-4C1D-8537-E996BE84EEAE}" name="Table478" displayName="Table478" ref="G6:H119" totalsRowShown="0" headerRowDxfId="10">
  <autoFilter ref="G6:H119" xr:uid="{BF81ADD9-2316-458F-AA7A-27229E506D72}"/>
  <tableColumns count="2">
    <tableColumn id="1" xr3:uid="{091E1C7F-B409-4177-AD88-EA02DF81158A}" name="X-values"/>
    <tableColumn id="2" xr3:uid="{C0759F61-106D-4222-B20C-492020745E26}" name="Normal Distribution" dataDxfId="9">
      <calculatedColumnFormula>Table478[[#This Row],[X-values]]^2*EXP(-Table478[[#This Row],[X-values]]/7)</calculatedColumnFormula>
    </tableColumn>
  </tableColumns>
  <tableStyleInfo name="TableStyleMedium14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836543A-B1EA-46F6-BA12-3A0DA008F2D7}" name="Table13469" displayName="Table13469" ref="A6:E26" totalsRowShown="0">
  <autoFilter ref="A6:E26" xr:uid="{D7685FF5-B285-4230-A922-946069BABD19}"/>
  <tableColumns count="5">
    <tableColumn id="1" xr3:uid="{9960AF77-146B-4BAA-B137-35DD7993F17F}" name="Name"/>
    <tableColumn id="2" xr3:uid="{2AA4FB1A-BC08-49B4-B88D-6ECDDBCAF442}" name="Work ex"/>
    <tableColumn id="3" xr3:uid="{5EB35370-5083-4971-B795-2A4CECCDAD0E}" name="X - Mean" dataDxfId="8">
      <calculatedColumnFormula>Table13469[[#This Row],[Work ex]]-$H$2</calculatedColumnFormula>
    </tableColumn>
    <tableColumn id="4" xr3:uid="{4251BF46-3716-4C23-89FC-30226C470D25}" name="Sq (X - Mean)" dataDxfId="7">
      <calculatedColumnFormula>Table13469[[#This Row],[X - Mean]]^2</calculatedColumnFormula>
    </tableColumn>
    <tableColumn id="5" xr3:uid="{FD05F59D-F254-4029-81B8-1B288D326DBE}" name="Z- score" dataDxfId="6">
      <calculatedColumnFormula>Table13469[[#This Row],[X - Mean]]/$J$4</calculatedColumnFormula>
    </tableColumn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06E7A27-0D6F-4872-B0DC-873E4DAE16FC}" name="Table47810" displayName="Table47810" ref="G6:H119" totalsRowShown="0" headerRowDxfId="5">
  <autoFilter ref="G6:H119" xr:uid="{BF81ADD9-2316-458F-AA7A-27229E506D72}"/>
  <tableColumns count="2">
    <tableColumn id="1" xr3:uid="{6E5D5806-82CE-482C-B464-F24A77D28269}" name="X-values"/>
    <tableColumn id="2" xr3:uid="{CF54FB11-8719-4DA6-BE7B-200D73CCCBD5}" name="Normal Distribution" dataDxfId="4">
      <calculatedColumnFormula>((MAX(Table47810[X-values])-Table47810[[#This Row],[X-values]])^2)*EXP(-(MAX(Table47810[X-values])-Table47810[[#This Row],[X-values]])/7)</calculatedColumnFormula>
    </tableColumn>
  </tableColumns>
  <tableStyleInfo name="TableStyleMedium14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70E0AE9-7ED4-465D-B065-9A918B9661A5}" name="Table1346911" displayName="Table1346911" ref="A6:E26" totalsRowShown="0">
  <autoFilter ref="A6:E26" xr:uid="{D7685FF5-B285-4230-A922-946069BABD19}"/>
  <tableColumns count="5">
    <tableColumn id="1" xr3:uid="{522FA75B-1C83-4235-817E-B8EFF55C24C6}" name="Name"/>
    <tableColumn id="2" xr3:uid="{545FEAE9-FFC4-48FA-A668-1EDD62622C46}" name="Work ex"/>
    <tableColumn id="3" xr3:uid="{F8B83BEA-E7A7-4B88-8AE5-07D37FD8A8E6}" name="X - Mean" dataDxfId="3">
      <calculatedColumnFormula>Table1346911[[#This Row],[Work ex]]-$H$2</calculatedColumnFormula>
    </tableColumn>
    <tableColumn id="4" xr3:uid="{0DB5D3FA-8796-4469-A2A4-62667340A830}" name="Sq (X - Mean)" dataDxfId="2">
      <calculatedColumnFormula>Table1346911[[#This Row],[X - Mean]]^2</calculatedColumnFormula>
    </tableColumn>
    <tableColumn id="5" xr3:uid="{D23963E8-167E-40C1-AE29-D4968B082CCC}" name="Z- score" dataDxfId="1">
      <calculatedColumnFormula>Table1346911[[#This Row],[X - Mean]]/$J$4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Relationship Id="rId4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4" Type="http://schemas.openxmlformats.org/officeDocument/2006/relationships/table" Target="../tables/table7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Relationship Id="rId4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showGridLines="0" workbookViewId="0">
      <selection activeCell="D10" sqref="D10"/>
    </sheetView>
  </sheetViews>
  <sheetFormatPr defaultRowHeight="14.5" x14ac:dyDescent="0.35"/>
  <cols>
    <col min="1" max="1" width="10.81640625" customWidth="1"/>
    <col min="2" max="2" width="9.7265625" customWidth="1"/>
    <col min="3" max="3" width="9.1796875" customWidth="1"/>
  </cols>
  <sheetData>
    <row r="1" spans="1:2" ht="15" thickBot="1" x14ac:dyDescent="0.4"/>
    <row r="2" spans="1:2" ht="15" thickBot="1" x14ac:dyDescent="0.4">
      <c r="A2" s="1" t="s">
        <v>20</v>
      </c>
      <c r="B2" s="2">
        <f>AVERAGE(Table1[Work ex])</f>
        <v>27.7</v>
      </c>
    </row>
    <row r="3" spans="1:2" ht="15" thickBot="1" x14ac:dyDescent="0.4">
      <c r="A3" s="1" t="s">
        <v>23</v>
      </c>
      <c r="B3" s="2">
        <f>MEDIAN(Table1[Work ex])</f>
        <v>28</v>
      </c>
    </row>
    <row r="4" spans="1:2" ht="15" thickBot="1" x14ac:dyDescent="0.4">
      <c r="A4" s="1" t="s">
        <v>24</v>
      </c>
      <c r="B4" s="2">
        <f>MAX(Table1[Work ex])-MIN(Table1[Work ex])</f>
        <v>35</v>
      </c>
    </row>
    <row r="6" spans="1:2" x14ac:dyDescent="0.35">
      <c r="A6" t="s">
        <v>21</v>
      </c>
      <c r="B6" t="s">
        <v>22</v>
      </c>
    </row>
    <row r="7" spans="1:2" x14ac:dyDescent="0.35">
      <c r="A7" t="s">
        <v>0</v>
      </c>
      <c r="B7">
        <v>0</v>
      </c>
    </row>
    <row r="8" spans="1:2" x14ac:dyDescent="0.35">
      <c r="A8" t="s">
        <v>1</v>
      </c>
      <c r="B8">
        <v>21</v>
      </c>
    </row>
    <row r="9" spans="1:2" x14ac:dyDescent="0.35">
      <c r="A9" t="s">
        <v>2</v>
      </c>
      <c r="B9">
        <v>24</v>
      </c>
    </row>
    <row r="10" spans="1:2" x14ac:dyDescent="0.35">
      <c r="A10" t="s">
        <v>3</v>
      </c>
      <c r="B10">
        <v>25</v>
      </c>
    </row>
    <row r="11" spans="1:2" x14ac:dyDescent="0.35">
      <c r="A11" t="s">
        <v>4</v>
      </c>
      <c r="B11">
        <v>26</v>
      </c>
    </row>
    <row r="12" spans="1:2" x14ac:dyDescent="0.35">
      <c r="A12" t="s">
        <v>5</v>
      </c>
      <c r="B12">
        <v>27</v>
      </c>
    </row>
    <row r="13" spans="1:2" x14ac:dyDescent="0.35">
      <c r="A13" t="s">
        <v>6</v>
      </c>
      <c r="B13">
        <v>27</v>
      </c>
    </row>
    <row r="14" spans="1:2" x14ac:dyDescent="0.35">
      <c r="A14" t="s">
        <v>7</v>
      </c>
      <c r="B14">
        <v>28</v>
      </c>
    </row>
    <row r="15" spans="1:2" x14ac:dyDescent="0.35">
      <c r="A15" t="s">
        <v>8</v>
      </c>
      <c r="B15">
        <v>28</v>
      </c>
    </row>
    <row r="16" spans="1:2" x14ac:dyDescent="0.35">
      <c r="A16" t="s">
        <v>9</v>
      </c>
      <c r="B16">
        <v>28</v>
      </c>
    </row>
    <row r="17" spans="1:2" x14ac:dyDescent="0.35">
      <c r="A17" t="s">
        <v>10</v>
      </c>
      <c r="B17">
        <v>28</v>
      </c>
    </row>
    <row r="18" spans="1:2" x14ac:dyDescent="0.35">
      <c r="A18" t="s">
        <v>11</v>
      </c>
      <c r="B18">
        <v>29</v>
      </c>
    </row>
    <row r="19" spans="1:2" x14ac:dyDescent="0.35">
      <c r="A19" t="s">
        <v>12</v>
      </c>
      <c r="B19">
        <v>30</v>
      </c>
    </row>
    <row r="20" spans="1:2" x14ac:dyDescent="0.35">
      <c r="A20" t="s">
        <v>13</v>
      </c>
      <c r="B20">
        <v>31</v>
      </c>
    </row>
    <row r="21" spans="1:2" x14ac:dyDescent="0.35">
      <c r="A21" t="s">
        <v>14</v>
      </c>
      <c r="B21">
        <v>32</v>
      </c>
    </row>
    <row r="22" spans="1:2" x14ac:dyDescent="0.35">
      <c r="A22" t="s">
        <v>15</v>
      </c>
      <c r="B22">
        <v>33</v>
      </c>
    </row>
    <row r="23" spans="1:2" x14ac:dyDescent="0.35">
      <c r="A23" t="s">
        <v>16</v>
      </c>
      <c r="B23">
        <v>33</v>
      </c>
    </row>
    <row r="24" spans="1:2" x14ac:dyDescent="0.35">
      <c r="A24" t="s">
        <v>17</v>
      </c>
      <c r="B24">
        <v>34</v>
      </c>
    </row>
    <row r="25" spans="1:2" x14ac:dyDescent="0.35">
      <c r="A25" t="s">
        <v>18</v>
      </c>
      <c r="B25">
        <v>35</v>
      </c>
    </row>
    <row r="26" spans="1:2" x14ac:dyDescent="0.35">
      <c r="A26" t="s">
        <v>19</v>
      </c>
      <c r="B26">
        <v>35</v>
      </c>
    </row>
  </sheetData>
  <phoneticPr fontId="2" type="noConversion"/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1B519-0B4C-4F69-8509-00201E27A9A1}">
  <dimension ref="A1:D26"/>
  <sheetViews>
    <sheetView showGridLines="0" workbookViewId="0">
      <selection activeCell="G8" sqref="G8"/>
    </sheetView>
  </sheetViews>
  <sheetFormatPr defaultRowHeight="14.5" x14ac:dyDescent="0.35"/>
  <cols>
    <col min="1" max="1" width="12" customWidth="1"/>
    <col min="2" max="2" width="11.7265625" customWidth="1"/>
    <col min="3" max="3" width="16.1796875" customWidth="1"/>
    <col min="4" max="4" width="15.1796875" customWidth="1"/>
    <col min="5" max="5" width="13.1796875" customWidth="1"/>
  </cols>
  <sheetData>
    <row r="1" spans="1:4" ht="15" thickBot="1" x14ac:dyDescent="0.4"/>
    <row r="2" spans="1:4" ht="17" thickBot="1" x14ac:dyDescent="0.4">
      <c r="A2" s="3" t="s">
        <v>20</v>
      </c>
      <c r="B2" s="2">
        <f>AVERAGE(Table13[Work ex])</f>
        <v>27.7</v>
      </c>
      <c r="C2" s="4" t="s">
        <v>27</v>
      </c>
      <c r="D2" s="2">
        <f>SUM(Table13[Sq (X - Mean)])</f>
        <v>1076.2</v>
      </c>
    </row>
    <row r="3" spans="1:4" ht="15" thickBot="1" x14ac:dyDescent="0.4">
      <c r="A3" s="3" t="s">
        <v>23</v>
      </c>
      <c r="B3" s="2">
        <f>MEDIAN(Table13[Work ex])</f>
        <v>28</v>
      </c>
      <c r="C3" s="4" t="s">
        <v>28</v>
      </c>
      <c r="D3" s="2">
        <f>COUNT(Table13[Work ex])-1</f>
        <v>19</v>
      </c>
    </row>
    <row r="4" spans="1:4" ht="17" thickBot="1" x14ac:dyDescent="0.5">
      <c r="A4" s="3" t="s">
        <v>24</v>
      </c>
      <c r="B4" s="2">
        <f>MAX(Table13[Work ex])-MIN(Table13[Work ex])</f>
        <v>35</v>
      </c>
      <c r="C4" s="4" t="s">
        <v>29</v>
      </c>
      <c r="D4" s="5">
        <f>SQRT(D2/D3)</f>
        <v>7.5260949544340656</v>
      </c>
    </row>
    <row r="6" spans="1:4" x14ac:dyDescent="0.35">
      <c r="A6" t="s">
        <v>21</v>
      </c>
      <c r="B6" t="s">
        <v>22</v>
      </c>
      <c r="C6" t="s">
        <v>26</v>
      </c>
      <c r="D6" t="s">
        <v>25</v>
      </c>
    </row>
    <row r="7" spans="1:4" x14ac:dyDescent="0.35">
      <c r="A7" t="s">
        <v>0</v>
      </c>
      <c r="B7">
        <v>0</v>
      </c>
      <c r="C7">
        <f>Table13[[#This Row],[Work ex]]-$B$2</f>
        <v>-27.7</v>
      </c>
      <c r="D7">
        <f>Table13[[#This Row],[X - Mean]]^2</f>
        <v>767.29</v>
      </c>
    </row>
    <row r="8" spans="1:4" x14ac:dyDescent="0.35">
      <c r="A8" t="s">
        <v>1</v>
      </c>
      <c r="B8">
        <v>21</v>
      </c>
      <c r="C8">
        <f>Table13[[#This Row],[Work ex]]-$B$2</f>
        <v>-6.6999999999999993</v>
      </c>
      <c r="D8">
        <f>Table13[[#This Row],[X - Mean]]^2</f>
        <v>44.889999999999993</v>
      </c>
    </row>
    <row r="9" spans="1:4" x14ac:dyDescent="0.35">
      <c r="A9" t="s">
        <v>2</v>
      </c>
      <c r="B9">
        <v>24</v>
      </c>
      <c r="C9">
        <f>Table13[[#This Row],[Work ex]]-$B$2</f>
        <v>-3.6999999999999993</v>
      </c>
      <c r="D9">
        <f>Table13[[#This Row],[X - Mean]]^2</f>
        <v>13.689999999999994</v>
      </c>
    </row>
    <row r="10" spans="1:4" x14ac:dyDescent="0.35">
      <c r="A10" t="s">
        <v>3</v>
      </c>
      <c r="B10">
        <v>25</v>
      </c>
      <c r="C10">
        <f>Table13[[#This Row],[Work ex]]-$B$2</f>
        <v>-2.6999999999999993</v>
      </c>
      <c r="D10">
        <f>Table13[[#This Row],[X - Mean]]^2</f>
        <v>7.2899999999999965</v>
      </c>
    </row>
    <row r="11" spans="1:4" x14ac:dyDescent="0.35">
      <c r="A11" t="s">
        <v>4</v>
      </c>
      <c r="B11">
        <v>26</v>
      </c>
      <c r="C11">
        <f>Table13[[#This Row],[Work ex]]-$B$2</f>
        <v>-1.6999999999999993</v>
      </c>
      <c r="D11">
        <f>Table13[[#This Row],[X - Mean]]^2</f>
        <v>2.8899999999999975</v>
      </c>
    </row>
    <row r="12" spans="1:4" x14ac:dyDescent="0.35">
      <c r="A12" t="s">
        <v>5</v>
      </c>
      <c r="B12">
        <v>27</v>
      </c>
      <c r="C12">
        <f>Table13[[#This Row],[Work ex]]-$B$2</f>
        <v>-0.69999999999999929</v>
      </c>
      <c r="D12">
        <f>Table13[[#This Row],[X - Mean]]^2</f>
        <v>0.48999999999999899</v>
      </c>
    </row>
    <row r="13" spans="1:4" x14ac:dyDescent="0.35">
      <c r="A13" t="s">
        <v>6</v>
      </c>
      <c r="B13">
        <v>27</v>
      </c>
      <c r="C13">
        <f>Table13[[#This Row],[Work ex]]-$B$2</f>
        <v>-0.69999999999999929</v>
      </c>
      <c r="D13">
        <f>Table13[[#This Row],[X - Mean]]^2</f>
        <v>0.48999999999999899</v>
      </c>
    </row>
    <row r="14" spans="1:4" x14ac:dyDescent="0.35">
      <c r="A14" t="s">
        <v>7</v>
      </c>
      <c r="B14">
        <v>28</v>
      </c>
      <c r="C14">
        <f>Table13[[#This Row],[Work ex]]-$B$2</f>
        <v>0.30000000000000071</v>
      </c>
      <c r="D14">
        <f>Table13[[#This Row],[X - Mean]]^2</f>
        <v>9.0000000000000427E-2</v>
      </c>
    </row>
    <row r="15" spans="1:4" x14ac:dyDescent="0.35">
      <c r="A15" t="s">
        <v>8</v>
      </c>
      <c r="B15">
        <v>28</v>
      </c>
      <c r="C15">
        <f>Table13[[#This Row],[Work ex]]-$B$2</f>
        <v>0.30000000000000071</v>
      </c>
      <c r="D15">
        <f>Table13[[#This Row],[X - Mean]]^2</f>
        <v>9.0000000000000427E-2</v>
      </c>
    </row>
    <row r="16" spans="1:4" x14ac:dyDescent="0.35">
      <c r="A16" t="s">
        <v>9</v>
      </c>
      <c r="B16">
        <v>28</v>
      </c>
      <c r="C16">
        <f>Table13[[#This Row],[Work ex]]-$B$2</f>
        <v>0.30000000000000071</v>
      </c>
      <c r="D16">
        <f>Table13[[#This Row],[X - Mean]]^2</f>
        <v>9.0000000000000427E-2</v>
      </c>
    </row>
    <row r="17" spans="1:4" x14ac:dyDescent="0.35">
      <c r="A17" t="s">
        <v>10</v>
      </c>
      <c r="B17">
        <v>28</v>
      </c>
      <c r="C17">
        <f>Table13[[#This Row],[Work ex]]-$B$2</f>
        <v>0.30000000000000071</v>
      </c>
      <c r="D17">
        <f>Table13[[#This Row],[X - Mean]]^2</f>
        <v>9.0000000000000427E-2</v>
      </c>
    </row>
    <row r="18" spans="1:4" x14ac:dyDescent="0.35">
      <c r="A18" t="s">
        <v>11</v>
      </c>
      <c r="B18">
        <v>29</v>
      </c>
      <c r="C18">
        <f>Table13[[#This Row],[Work ex]]-$B$2</f>
        <v>1.3000000000000007</v>
      </c>
      <c r="D18">
        <f>Table13[[#This Row],[X - Mean]]^2</f>
        <v>1.6900000000000019</v>
      </c>
    </row>
    <row r="19" spans="1:4" x14ac:dyDescent="0.35">
      <c r="A19" t="s">
        <v>12</v>
      </c>
      <c r="B19">
        <v>30</v>
      </c>
      <c r="C19">
        <f>Table13[[#This Row],[Work ex]]-$B$2</f>
        <v>2.3000000000000007</v>
      </c>
      <c r="D19">
        <f>Table13[[#This Row],[X - Mean]]^2</f>
        <v>5.2900000000000036</v>
      </c>
    </row>
    <row r="20" spans="1:4" x14ac:dyDescent="0.35">
      <c r="A20" t="s">
        <v>13</v>
      </c>
      <c r="B20">
        <v>31</v>
      </c>
      <c r="C20">
        <f>Table13[[#This Row],[Work ex]]-$B$2</f>
        <v>3.3000000000000007</v>
      </c>
      <c r="D20">
        <f>Table13[[#This Row],[X - Mean]]^2</f>
        <v>10.890000000000004</v>
      </c>
    </row>
    <row r="21" spans="1:4" x14ac:dyDescent="0.35">
      <c r="A21" t="s">
        <v>14</v>
      </c>
      <c r="B21">
        <v>32</v>
      </c>
      <c r="C21">
        <f>Table13[[#This Row],[Work ex]]-$B$2</f>
        <v>4.3000000000000007</v>
      </c>
      <c r="D21">
        <f>Table13[[#This Row],[X - Mean]]^2</f>
        <v>18.490000000000006</v>
      </c>
    </row>
    <row r="22" spans="1:4" x14ac:dyDescent="0.35">
      <c r="A22" t="s">
        <v>15</v>
      </c>
      <c r="B22">
        <v>33</v>
      </c>
      <c r="C22">
        <f>Table13[[#This Row],[Work ex]]-$B$2</f>
        <v>5.3000000000000007</v>
      </c>
      <c r="D22">
        <f>Table13[[#This Row],[X - Mean]]^2</f>
        <v>28.090000000000007</v>
      </c>
    </row>
    <row r="23" spans="1:4" x14ac:dyDescent="0.35">
      <c r="A23" t="s">
        <v>16</v>
      </c>
      <c r="B23">
        <v>33</v>
      </c>
      <c r="C23">
        <f>Table13[[#This Row],[Work ex]]-$B$2</f>
        <v>5.3000000000000007</v>
      </c>
      <c r="D23">
        <f>Table13[[#This Row],[X - Mean]]^2</f>
        <v>28.090000000000007</v>
      </c>
    </row>
    <row r="24" spans="1:4" x14ac:dyDescent="0.35">
      <c r="A24" t="s">
        <v>17</v>
      </c>
      <c r="B24">
        <v>34</v>
      </c>
      <c r="C24">
        <f>Table13[[#This Row],[Work ex]]-$B$2</f>
        <v>6.3000000000000007</v>
      </c>
      <c r="D24">
        <f>Table13[[#This Row],[X - Mean]]^2</f>
        <v>39.690000000000012</v>
      </c>
    </row>
    <row r="25" spans="1:4" x14ac:dyDescent="0.35">
      <c r="A25" t="s">
        <v>18</v>
      </c>
      <c r="B25">
        <v>35</v>
      </c>
      <c r="C25">
        <f>Table13[[#This Row],[Work ex]]-$B$2</f>
        <v>7.3000000000000007</v>
      </c>
      <c r="D25">
        <f>Table13[[#This Row],[X - Mean]]^2</f>
        <v>53.290000000000013</v>
      </c>
    </row>
    <row r="26" spans="1:4" x14ac:dyDescent="0.35">
      <c r="A26" t="s">
        <v>19</v>
      </c>
      <c r="B26">
        <v>35</v>
      </c>
      <c r="C26">
        <f>Table13[[#This Row],[Work ex]]-$B$2</f>
        <v>7.3000000000000007</v>
      </c>
      <c r="D26">
        <f>Table13[[#This Row],[X - Mean]]^2</f>
        <v>53.290000000000013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96E91-3E40-4927-930E-B6566AFDBE4C}">
  <dimension ref="A1:J26"/>
  <sheetViews>
    <sheetView showGridLines="0" topLeftCell="C1" workbookViewId="0">
      <selection activeCell="E7" sqref="E7"/>
    </sheetView>
  </sheetViews>
  <sheetFormatPr defaultRowHeight="14.5" x14ac:dyDescent="0.35"/>
  <cols>
    <col min="1" max="1" width="12" customWidth="1"/>
    <col min="2" max="2" width="11.7265625" customWidth="1"/>
    <col min="3" max="3" width="16.1796875" customWidth="1"/>
    <col min="4" max="4" width="15.1796875" customWidth="1"/>
    <col min="5" max="5" width="13.1796875" customWidth="1"/>
  </cols>
  <sheetData>
    <row r="1" spans="1:10" ht="15" thickBot="1" x14ac:dyDescent="0.4"/>
    <row r="2" spans="1:10" ht="17" thickBot="1" x14ac:dyDescent="0.4">
      <c r="A2" s="3" t="s">
        <v>20</v>
      </c>
      <c r="B2" s="2">
        <f>AVERAGE(Table134[Work ex])</f>
        <v>27.7</v>
      </c>
      <c r="C2" s="4" t="s">
        <v>27</v>
      </c>
      <c r="D2" s="2">
        <f>SUM(Table134[Sq (X - Mean)])</f>
        <v>1076.2</v>
      </c>
    </row>
    <row r="3" spans="1:10" ht="15" thickBot="1" x14ac:dyDescent="0.4">
      <c r="A3" s="3" t="s">
        <v>23</v>
      </c>
      <c r="B3" s="2">
        <f>MEDIAN(Table134[Work ex])</f>
        <v>28</v>
      </c>
      <c r="C3" s="4" t="s">
        <v>28</v>
      </c>
      <c r="D3" s="2">
        <f>COUNT(Table134[Work ex])-1</f>
        <v>19</v>
      </c>
    </row>
    <row r="4" spans="1:10" ht="17" thickBot="1" x14ac:dyDescent="0.5">
      <c r="A4" s="3" t="s">
        <v>24</v>
      </c>
      <c r="B4" s="2">
        <f>MAX(Table134[Work ex])-MIN(Table134[Work ex])</f>
        <v>35</v>
      </c>
      <c r="C4" s="4" t="s">
        <v>29</v>
      </c>
      <c r="D4" s="5">
        <f>SQRT(D2/D3)</f>
        <v>7.5260949544340656</v>
      </c>
    </row>
    <row r="6" spans="1:10" x14ac:dyDescent="0.35">
      <c r="A6" t="s">
        <v>21</v>
      </c>
      <c r="B6" t="s">
        <v>22</v>
      </c>
      <c r="C6" t="s">
        <v>26</v>
      </c>
      <c r="D6" t="s">
        <v>25</v>
      </c>
      <c r="E6" t="s">
        <v>30</v>
      </c>
      <c r="I6" s="8"/>
      <c r="J6" s="8"/>
    </row>
    <row r="7" spans="1:10" x14ac:dyDescent="0.35">
      <c r="A7" t="s">
        <v>0</v>
      </c>
      <c r="B7">
        <v>0</v>
      </c>
      <c r="C7">
        <f>Table134[[#This Row],[Work ex]]-$B$2</f>
        <v>-27.7</v>
      </c>
      <c r="D7">
        <f>Table134[[#This Row],[X - Mean]]^2</f>
        <v>767.29</v>
      </c>
      <c r="E7" s="6">
        <f>Table134[[#This Row],[X - Mean]]/$D$4</f>
        <v>-3.6805275734237579</v>
      </c>
      <c r="I7" s="8"/>
      <c r="J7" s="8"/>
    </row>
    <row r="8" spans="1:10" x14ac:dyDescent="0.35">
      <c r="A8" t="s">
        <v>1</v>
      </c>
      <c r="B8">
        <v>21</v>
      </c>
      <c r="C8">
        <f>Table134[[#This Row],[Work ex]]-$B$2</f>
        <v>-6.6999999999999993</v>
      </c>
      <c r="D8">
        <f>Table134[[#This Row],[X - Mean]]^2</f>
        <v>44.889999999999993</v>
      </c>
      <c r="E8" s="6">
        <f>Table134[[#This Row],[X - Mean]]/$D$4</f>
        <v>-0.89023591126134205</v>
      </c>
      <c r="I8" s="8"/>
      <c r="J8" s="8"/>
    </row>
    <row r="9" spans="1:10" x14ac:dyDescent="0.35">
      <c r="A9" t="s">
        <v>2</v>
      </c>
      <c r="B9">
        <v>24</v>
      </c>
      <c r="C9">
        <f>Table134[[#This Row],[Work ex]]-$B$2</f>
        <v>-3.6999999999999993</v>
      </c>
      <c r="D9">
        <f>Table134[[#This Row],[X - Mean]]^2</f>
        <v>13.689999999999994</v>
      </c>
      <c r="E9" s="6">
        <f>Table134[[#This Row],[X - Mean]]/$D$4</f>
        <v>-0.49162281666671126</v>
      </c>
    </row>
    <row r="10" spans="1:10" x14ac:dyDescent="0.35">
      <c r="A10" t="s">
        <v>3</v>
      </c>
      <c r="B10">
        <v>25</v>
      </c>
      <c r="C10">
        <f>Table134[[#This Row],[Work ex]]-$B$2</f>
        <v>-2.6999999999999993</v>
      </c>
      <c r="D10">
        <f>Table134[[#This Row],[X - Mean]]^2</f>
        <v>7.2899999999999965</v>
      </c>
      <c r="E10" s="6">
        <f>Table134[[#This Row],[X - Mean]]/$D$4</f>
        <v>-0.35875178513516764</v>
      </c>
    </row>
    <row r="11" spans="1:10" x14ac:dyDescent="0.35">
      <c r="A11" t="s">
        <v>4</v>
      </c>
      <c r="B11">
        <v>26</v>
      </c>
      <c r="C11">
        <f>Table134[[#This Row],[Work ex]]-$B$2</f>
        <v>-1.6999999999999993</v>
      </c>
      <c r="D11">
        <f>Table134[[#This Row],[X - Mean]]^2</f>
        <v>2.8899999999999975</v>
      </c>
      <c r="E11" s="6">
        <f>Table134[[#This Row],[X - Mean]]/$D$4</f>
        <v>-0.22588075360362403</v>
      </c>
    </row>
    <row r="12" spans="1:10" x14ac:dyDescent="0.35">
      <c r="A12" t="s">
        <v>5</v>
      </c>
      <c r="B12">
        <v>27</v>
      </c>
      <c r="C12">
        <f>Table134[[#This Row],[Work ex]]-$B$2</f>
        <v>-0.69999999999999929</v>
      </c>
      <c r="D12">
        <f>Table134[[#This Row],[X - Mean]]^2</f>
        <v>0.48999999999999899</v>
      </c>
      <c r="E12" s="6">
        <f>Table134[[#This Row],[X - Mean]]/$D$4</f>
        <v>-9.3009722072080428E-2</v>
      </c>
    </row>
    <row r="13" spans="1:10" x14ac:dyDescent="0.35">
      <c r="A13" t="s">
        <v>6</v>
      </c>
      <c r="B13">
        <v>27</v>
      </c>
      <c r="C13">
        <f>Table134[[#This Row],[Work ex]]-$B$2</f>
        <v>-0.69999999999999929</v>
      </c>
      <c r="D13">
        <f>Table134[[#This Row],[X - Mean]]^2</f>
        <v>0.48999999999999899</v>
      </c>
      <c r="E13" s="6">
        <f>Table134[[#This Row],[X - Mean]]/$D$4</f>
        <v>-9.3009722072080428E-2</v>
      </c>
    </row>
    <row r="14" spans="1:10" x14ac:dyDescent="0.35">
      <c r="A14" t="s">
        <v>7</v>
      </c>
      <c r="B14">
        <v>28</v>
      </c>
      <c r="C14">
        <f>Table134[[#This Row],[Work ex]]-$B$2</f>
        <v>0.30000000000000071</v>
      </c>
      <c r="D14">
        <f>Table134[[#This Row],[X - Mean]]^2</f>
        <v>9.0000000000000427E-2</v>
      </c>
      <c r="E14" s="6">
        <f>Table134[[#This Row],[X - Mean]]/$D$4</f>
        <v>3.986130945946318E-2</v>
      </c>
    </row>
    <row r="15" spans="1:10" x14ac:dyDescent="0.35">
      <c r="A15" t="s">
        <v>8</v>
      </c>
      <c r="B15">
        <v>28</v>
      </c>
      <c r="C15">
        <f>Table134[[#This Row],[Work ex]]-$B$2</f>
        <v>0.30000000000000071</v>
      </c>
      <c r="D15">
        <f>Table134[[#This Row],[X - Mean]]^2</f>
        <v>9.0000000000000427E-2</v>
      </c>
      <c r="E15" s="6">
        <f>Table134[[#This Row],[X - Mean]]/$D$4</f>
        <v>3.986130945946318E-2</v>
      </c>
    </row>
    <row r="16" spans="1:10" x14ac:dyDescent="0.35">
      <c r="A16" t="s">
        <v>9</v>
      </c>
      <c r="B16">
        <v>28</v>
      </c>
      <c r="C16">
        <f>Table134[[#This Row],[Work ex]]-$B$2</f>
        <v>0.30000000000000071</v>
      </c>
      <c r="D16">
        <f>Table134[[#This Row],[X - Mean]]^2</f>
        <v>9.0000000000000427E-2</v>
      </c>
      <c r="E16" s="6">
        <f>Table134[[#This Row],[X - Mean]]/$D$4</f>
        <v>3.986130945946318E-2</v>
      </c>
    </row>
    <row r="17" spans="1:5" x14ac:dyDescent="0.35">
      <c r="A17" t="s">
        <v>10</v>
      </c>
      <c r="B17">
        <v>28</v>
      </c>
      <c r="C17">
        <f>Table134[[#This Row],[Work ex]]-$B$2</f>
        <v>0.30000000000000071</v>
      </c>
      <c r="D17">
        <f>Table134[[#This Row],[X - Mean]]^2</f>
        <v>9.0000000000000427E-2</v>
      </c>
      <c r="E17" s="6">
        <f>Table134[[#This Row],[X - Mean]]/$D$4</f>
        <v>3.986130945946318E-2</v>
      </c>
    </row>
    <row r="18" spans="1:5" x14ac:dyDescent="0.35">
      <c r="A18" t="s">
        <v>11</v>
      </c>
      <c r="B18">
        <v>29</v>
      </c>
      <c r="C18">
        <f>Table134[[#This Row],[Work ex]]-$B$2</f>
        <v>1.3000000000000007</v>
      </c>
      <c r="D18">
        <f>Table134[[#This Row],[X - Mean]]^2</f>
        <v>1.6900000000000019</v>
      </c>
      <c r="E18" s="6">
        <f>Table134[[#This Row],[X - Mean]]/$D$4</f>
        <v>0.17273234099100679</v>
      </c>
    </row>
    <row r="19" spans="1:5" x14ac:dyDescent="0.35">
      <c r="A19" t="s">
        <v>12</v>
      </c>
      <c r="B19">
        <v>30</v>
      </c>
      <c r="C19">
        <f>Table134[[#This Row],[Work ex]]-$B$2</f>
        <v>2.3000000000000007</v>
      </c>
      <c r="D19">
        <f>Table134[[#This Row],[X - Mean]]^2</f>
        <v>5.2900000000000036</v>
      </c>
      <c r="E19" s="6">
        <f>Table134[[#This Row],[X - Mean]]/$D$4</f>
        <v>0.30560337252255038</v>
      </c>
    </row>
    <row r="20" spans="1:5" x14ac:dyDescent="0.35">
      <c r="A20" t="s">
        <v>13</v>
      </c>
      <c r="B20">
        <v>31</v>
      </c>
      <c r="C20">
        <f>Table134[[#This Row],[Work ex]]-$B$2</f>
        <v>3.3000000000000007</v>
      </c>
      <c r="D20">
        <f>Table134[[#This Row],[X - Mean]]^2</f>
        <v>10.890000000000004</v>
      </c>
      <c r="E20" s="6">
        <f>Table134[[#This Row],[X - Mean]]/$D$4</f>
        <v>0.43847440405409399</v>
      </c>
    </row>
    <row r="21" spans="1:5" x14ac:dyDescent="0.35">
      <c r="A21" t="s">
        <v>14</v>
      </c>
      <c r="B21">
        <v>32</v>
      </c>
      <c r="C21">
        <f>Table134[[#This Row],[Work ex]]-$B$2</f>
        <v>4.3000000000000007</v>
      </c>
      <c r="D21">
        <f>Table134[[#This Row],[X - Mean]]^2</f>
        <v>18.490000000000006</v>
      </c>
      <c r="E21" s="6">
        <f>Table134[[#This Row],[X - Mean]]/$D$4</f>
        <v>0.57134543558563766</v>
      </c>
    </row>
    <row r="22" spans="1:5" x14ac:dyDescent="0.35">
      <c r="A22" t="s">
        <v>15</v>
      </c>
      <c r="B22">
        <v>33</v>
      </c>
      <c r="C22">
        <f>Table134[[#This Row],[Work ex]]-$B$2</f>
        <v>5.3000000000000007</v>
      </c>
      <c r="D22">
        <f>Table134[[#This Row],[X - Mean]]^2</f>
        <v>28.090000000000007</v>
      </c>
      <c r="E22" s="6">
        <f>Table134[[#This Row],[X - Mean]]/$D$4</f>
        <v>0.70421646711718122</v>
      </c>
    </row>
    <row r="23" spans="1:5" x14ac:dyDescent="0.35">
      <c r="A23" t="s">
        <v>16</v>
      </c>
      <c r="B23">
        <v>33</v>
      </c>
      <c r="C23">
        <f>Table134[[#This Row],[Work ex]]-$B$2</f>
        <v>5.3000000000000007</v>
      </c>
      <c r="D23">
        <f>Table134[[#This Row],[X - Mean]]^2</f>
        <v>28.090000000000007</v>
      </c>
      <c r="E23" s="6">
        <f>Table134[[#This Row],[X - Mean]]/$D$4</f>
        <v>0.70421646711718122</v>
      </c>
    </row>
    <row r="24" spans="1:5" x14ac:dyDescent="0.35">
      <c r="A24" t="s">
        <v>17</v>
      </c>
      <c r="B24">
        <v>34</v>
      </c>
      <c r="C24">
        <f>Table134[[#This Row],[Work ex]]-$B$2</f>
        <v>6.3000000000000007</v>
      </c>
      <c r="D24">
        <f>Table134[[#This Row],[X - Mean]]^2</f>
        <v>39.690000000000012</v>
      </c>
      <c r="E24" s="6">
        <f>Table134[[#This Row],[X - Mean]]/$D$4</f>
        <v>0.83708749864872478</v>
      </c>
    </row>
    <row r="25" spans="1:5" x14ac:dyDescent="0.35">
      <c r="A25" t="s">
        <v>18</v>
      </c>
      <c r="B25">
        <v>35</v>
      </c>
      <c r="C25">
        <f>Table134[[#This Row],[Work ex]]-$B$2</f>
        <v>7.3000000000000007</v>
      </c>
      <c r="D25">
        <f>Table134[[#This Row],[X - Mean]]^2</f>
        <v>53.290000000000013</v>
      </c>
      <c r="E25" s="6">
        <f>Table134[[#This Row],[X - Mean]]/$D$4</f>
        <v>0.96995853018026845</v>
      </c>
    </row>
    <row r="26" spans="1:5" x14ac:dyDescent="0.35">
      <c r="A26" t="s">
        <v>19</v>
      </c>
      <c r="B26">
        <v>35</v>
      </c>
      <c r="C26">
        <f>Table134[[#This Row],[Work ex]]-$B$2</f>
        <v>7.3000000000000007</v>
      </c>
      <c r="D26">
        <f>Table134[[#This Row],[X - Mean]]^2</f>
        <v>53.290000000000013</v>
      </c>
      <c r="E26" s="6">
        <f>Table134[[#This Row],[X - Mean]]/$D$4</f>
        <v>0.96995853018026845</v>
      </c>
    </row>
  </sheetData>
  <phoneticPr fontId="2" type="noConversion"/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3E9B5-B8BF-44E7-BBE1-5EA8DC0DBF8F}">
  <dimension ref="A1:J119"/>
  <sheetViews>
    <sheetView showGridLines="0" workbookViewId="0">
      <selection activeCell="H7" sqref="H7"/>
    </sheetView>
  </sheetViews>
  <sheetFormatPr defaultRowHeight="14.5" outlineLevelCol="1" x14ac:dyDescent="0.35"/>
  <cols>
    <col min="1" max="1" width="12" customWidth="1" outlineLevel="1"/>
    <col min="2" max="2" width="11.7265625" customWidth="1" outlineLevel="1"/>
    <col min="3" max="3" width="16.1796875" customWidth="1" outlineLevel="1"/>
    <col min="4" max="4" width="15.1796875" customWidth="1" outlineLevel="1"/>
    <col min="5" max="5" width="13.1796875" customWidth="1" outlineLevel="1"/>
    <col min="6" max="6" width="13.1796875" customWidth="1"/>
    <col min="7" max="7" width="9.7265625" customWidth="1"/>
    <col min="8" max="8" width="17.81640625" customWidth="1"/>
    <col min="9" max="9" width="14.7265625" customWidth="1"/>
  </cols>
  <sheetData>
    <row r="1" spans="1:10" ht="15" thickBot="1" x14ac:dyDescent="0.4"/>
    <row r="2" spans="1:10" ht="17" thickBot="1" x14ac:dyDescent="0.4">
      <c r="G2" s="3" t="s">
        <v>20</v>
      </c>
      <c r="H2" s="2">
        <f>AVERAGE(Table1346[Work ex])</f>
        <v>27.7</v>
      </c>
      <c r="I2" s="4" t="s">
        <v>27</v>
      </c>
      <c r="J2" s="2">
        <f>SUM(Table1346[Sq (X - Mean)])</f>
        <v>1076.2</v>
      </c>
    </row>
    <row r="3" spans="1:10" ht="15" thickBot="1" x14ac:dyDescent="0.4">
      <c r="G3" s="3" t="s">
        <v>23</v>
      </c>
      <c r="H3" s="2">
        <f>MEDIAN(Table1346[Work ex])</f>
        <v>28</v>
      </c>
      <c r="I3" s="4" t="s">
        <v>28</v>
      </c>
      <c r="J3" s="2">
        <f>COUNT(Table1346[Work ex])-1</f>
        <v>19</v>
      </c>
    </row>
    <row r="4" spans="1:10" ht="17" thickBot="1" x14ac:dyDescent="0.5">
      <c r="G4" s="3" t="s">
        <v>24</v>
      </c>
      <c r="H4" s="2">
        <f>MAX(Table1346[Work ex])-MIN(Table1346[Work ex])</f>
        <v>35</v>
      </c>
      <c r="I4" s="4" t="s">
        <v>29</v>
      </c>
      <c r="J4" s="5">
        <f>SQRT(J2/J3)</f>
        <v>7.5260949544340656</v>
      </c>
    </row>
    <row r="6" spans="1:10" x14ac:dyDescent="0.35">
      <c r="A6" t="s">
        <v>21</v>
      </c>
      <c r="B6" t="s">
        <v>22</v>
      </c>
      <c r="C6" t="s">
        <v>26</v>
      </c>
      <c r="D6" t="s">
        <v>25</v>
      </c>
      <c r="E6" t="s">
        <v>30</v>
      </c>
      <c r="G6" t="s">
        <v>31</v>
      </c>
      <c r="H6" t="s">
        <v>32</v>
      </c>
    </row>
    <row r="7" spans="1:10" x14ac:dyDescent="0.35">
      <c r="A7" t="s">
        <v>0</v>
      </c>
      <c r="B7">
        <v>0</v>
      </c>
      <c r="C7">
        <f>Table1346[[#This Row],[Work ex]]-$H$2</f>
        <v>-27.7</v>
      </c>
      <c r="D7">
        <f>Table1346[[#This Row],[X - Mean]]^2</f>
        <v>767.29</v>
      </c>
      <c r="E7" s="6">
        <f>Table1346[[#This Row],[X - Mean]]/$J$4</f>
        <v>-3.6805275734237579</v>
      </c>
      <c r="F7" s="6"/>
      <c r="G7">
        <v>0</v>
      </c>
      <c r="H7" s="9">
        <f t="shared" ref="H7:H38" si="0">_xlfn.NORM.DIST(G7,$H$2,$J$4,FALSE)</f>
        <v>6.0646025799931109E-5</v>
      </c>
    </row>
    <row r="8" spans="1:10" x14ac:dyDescent="0.35">
      <c r="A8" t="s">
        <v>1</v>
      </c>
      <c r="B8">
        <v>21</v>
      </c>
      <c r="C8">
        <f>Table1346[[#This Row],[Work ex]]-$H$2</f>
        <v>-6.6999999999999993</v>
      </c>
      <c r="D8">
        <f>Table1346[[#This Row],[X - Mean]]^2</f>
        <v>44.889999999999993</v>
      </c>
      <c r="E8" s="6">
        <f>Table1346[[#This Row],[X - Mean]]/$J$4</f>
        <v>-0.89023591126134205</v>
      </c>
      <c r="F8" s="6"/>
      <c r="G8">
        <v>0.5</v>
      </c>
      <c r="H8" s="9">
        <f t="shared" si="0"/>
        <v>7.72745770892787E-5</v>
      </c>
    </row>
    <row r="9" spans="1:10" x14ac:dyDescent="0.35">
      <c r="A9" t="s">
        <v>2</v>
      </c>
      <c r="B9">
        <v>24</v>
      </c>
      <c r="C9">
        <f>Table1346[[#This Row],[Work ex]]-$H$2</f>
        <v>-3.6999999999999993</v>
      </c>
      <c r="D9">
        <f>Table1346[[#This Row],[X - Mean]]^2</f>
        <v>13.689999999999994</v>
      </c>
      <c r="E9" s="6">
        <f>Table1346[[#This Row],[X - Mean]]/$J$4</f>
        <v>-0.49162281666671126</v>
      </c>
      <c r="F9" s="6"/>
      <c r="G9">
        <v>1</v>
      </c>
      <c r="H9" s="9">
        <f t="shared" si="0"/>
        <v>9.8028891475794569E-5</v>
      </c>
    </row>
    <row r="10" spans="1:10" x14ac:dyDescent="0.35">
      <c r="A10" t="s">
        <v>3</v>
      </c>
      <c r="B10">
        <v>25</v>
      </c>
      <c r="C10">
        <f>Table1346[[#This Row],[Work ex]]-$H$2</f>
        <v>-2.6999999999999993</v>
      </c>
      <c r="D10">
        <f>Table1346[[#This Row],[X - Mean]]^2</f>
        <v>7.2899999999999965</v>
      </c>
      <c r="E10" s="6">
        <f>Table1346[[#This Row],[X - Mean]]/$J$4</f>
        <v>-0.35875178513516764</v>
      </c>
      <c r="F10" s="6"/>
      <c r="G10">
        <v>1.5</v>
      </c>
      <c r="H10" s="9">
        <f t="shared" si="0"/>
        <v>1.2380971115286254E-4</v>
      </c>
    </row>
    <row r="11" spans="1:10" x14ac:dyDescent="0.35">
      <c r="A11" t="s">
        <v>4</v>
      </c>
      <c r="B11">
        <v>26</v>
      </c>
      <c r="C11">
        <f>Table1346[[#This Row],[Work ex]]-$H$2</f>
        <v>-1.6999999999999993</v>
      </c>
      <c r="D11">
        <f>Table1346[[#This Row],[X - Mean]]^2</f>
        <v>2.8899999999999975</v>
      </c>
      <c r="E11" s="6">
        <f>Table1346[[#This Row],[X - Mean]]/$J$4</f>
        <v>-0.22588075360362403</v>
      </c>
      <c r="F11" s="6"/>
      <c r="G11">
        <v>2</v>
      </c>
      <c r="H11" s="9">
        <f t="shared" si="0"/>
        <v>1.5568203264808018E-4</v>
      </c>
    </row>
    <row r="12" spans="1:10" x14ac:dyDescent="0.35">
      <c r="A12" t="s">
        <v>5</v>
      </c>
      <c r="B12">
        <v>27</v>
      </c>
      <c r="C12">
        <f>Table1346[[#This Row],[Work ex]]-$H$2</f>
        <v>-0.69999999999999929</v>
      </c>
      <c r="D12">
        <f>Table1346[[#This Row],[X - Mean]]^2</f>
        <v>0.48999999999999899</v>
      </c>
      <c r="E12" s="6">
        <f>Table1346[[#This Row],[X - Mean]]/$J$4</f>
        <v>-9.3009722072080428E-2</v>
      </c>
      <c r="F12" s="6"/>
      <c r="G12">
        <v>2.5</v>
      </c>
      <c r="H12" s="9">
        <f t="shared" si="0"/>
        <v>1.9489712839375456E-4</v>
      </c>
    </row>
    <row r="13" spans="1:10" x14ac:dyDescent="0.35">
      <c r="A13" t="s">
        <v>6</v>
      </c>
      <c r="B13">
        <v>27</v>
      </c>
      <c r="C13">
        <f>Table1346[[#This Row],[Work ex]]-$H$2</f>
        <v>-0.69999999999999929</v>
      </c>
      <c r="D13">
        <f>Table1346[[#This Row],[X - Mean]]^2</f>
        <v>0.48999999999999899</v>
      </c>
      <c r="E13" s="6">
        <f>Table1346[[#This Row],[X - Mean]]/$J$4</f>
        <v>-9.3009722072080428E-2</v>
      </c>
      <c r="F13" s="6"/>
      <c r="G13">
        <v>3</v>
      </c>
      <c r="H13" s="9">
        <f t="shared" si="0"/>
        <v>2.4291568131229346E-4</v>
      </c>
    </row>
    <row r="14" spans="1:10" x14ac:dyDescent="0.35">
      <c r="A14" t="s">
        <v>7</v>
      </c>
      <c r="B14">
        <v>28</v>
      </c>
      <c r="C14">
        <f>Table1346[[#This Row],[Work ex]]-$H$2</f>
        <v>0.30000000000000071</v>
      </c>
      <c r="D14">
        <f>Table1346[[#This Row],[X - Mean]]^2</f>
        <v>9.0000000000000427E-2</v>
      </c>
      <c r="E14" s="6">
        <f>Table1346[[#This Row],[X - Mean]]/$J$4</f>
        <v>3.986130945946318E-2</v>
      </c>
      <c r="F14" s="6"/>
      <c r="G14">
        <v>3.5</v>
      </c>
      <c r="H14" s="9">
        <f t="shared" si="0"/>
        <v>3.0143163318942272E-4</v>
      </c>
    </row>
    <row r="15" spans="1:10" x14ac:dyDescent="0.35">
      <c r="A15" t="s">
        <v>8</v>
      </c>
      <c r="B15">
        <v>28</v>
      </c>
      <c r="C15">
        <f>Table1346[[#This Row],[Work ex]]-$H$2</f>
        <v>0.30000000000000071</v>
      </c>
      <c r="D15">
        <f>Table1346[[#This Row],[X - Mean]]^2</f>
        <v>9.0000000000000427E-2</v>
      </c>
      <c r="E15" s="6">
        <f>Table1346[[#This Row],[X - Mean]]/$J$4</f>
        <v>3.986130945946318E-2</v>
      </c>
      <c r="F15" s="6"/>
      <c r="G15">
        <v>4</v>
      </c>
      <c r="H15" s="9">
        <f t="shared" si="0"/>
        <v>3.7239622162207615E-4</v>
      </c>
    </row>
    <row r="16" spans="1:10" x14ac:dyDescent="0.35">
      <c r="A16" t="s">
        <v>9</v>
      </c>
      <c r="B16">
        <v>28</v>
      </c>
      <c r="C16">
        <f>Table1346[[#This Row],[Work ex]]-$H$2</f>
        <v>0.30000000000000071</v>
      </c>
      <c r="D16">
        <f>Table1346[[#This Row],[X - Mean]]^2</f>
        <v>9.0000000000000427E-2</v>
      </c>
      <c r="E16" s="6">
        <f>Table1346[[#This Row],[X - Mean]]/$J$4</f>
        <v>3.986130945946318E-2</v>
      </c>
      <c r="F16" s="6"/>
      <c r="G16">
        <v>4.5</v>
      </c>
      <c r="H16" s="9">
        <f t="shared" si="0"/>
        <v>4.5804154336774177E-4</v>
      </c>
    </row>
    <row r="17" spans="1:8" x14ac:dyDescent="0.35">
      <c r="A17" t="s">
        <v>10</v>
      </c>
      <c r="B17">
        <v>28</v>
      </c>
      <c r="C17">
        <f>Table1346[[#This Row],[Work ex]]-$H$2</f>
        <v>0.30000000000000071</v>
      </c>
      <c r="D17">
        <f>Table1346[[#This Row],[X - Mean]]^2</f>
        <v>9.0000000000000427E-2</v>
      </c>
      <c r="E17" s="6">
        <f>Table1346[[#This Row],[X - Mean]]/$J$4</f>
        <v>3.986130945946318E-2</v>
      </c>
      <c r="F17" s="6"/>
      <c r="G17">
        <v>5</v>
      </c>
      <c r="H17" s="9">
        <f t="shared" si="0"/>
        <v>5.6090283731247625E-4</v>
      </c>
    </row>
    <row r="18" spans="1:8" x14ac:dyDescent="0.35">
      <c r="A18" t="s">
        <v>11</v>
      </c>
      <c r="B18">
        <v>29</v>
      </c>
      <c r="C18">
        <f>Table1346[[#This Row],[Work ex]]-$H$2</f>
        <v>1.3000000000000007</v>
      </c>
      <c r="D18">
        <f>Table1346[[#This Row],[X - Mean]]^2</f>
        <v>1.6900000000000019</v>
      </c>
      <c r="E18" s="6">
        <f>Table1346[[#This Row],[X - Mean]]/$J$4</f>
        <v>0.17273234099100679</v>
      </c>
      <c r="F18" s="6"/>
      <c r="G18">
        <v>5.5</v>
      </c>
      <c r="H18" s="9">
        <f t="shared" si="0"/>
        <v>6.8383853253070658E-4</v>
      </c>
    </row>
    <row r="19" spans="1:8" x14ac:dyDescent="0.35">
      <c r="A19" t="s">
        <v>12</v>
      </c>
      <c r="B19">
        <v>30</v>
      </c>
      <c r="C19">
        <f>Table1346[[#This Row],[Work ex]]-$H$2</f>
        <v>2.3000000000000007</v>
      </c>
      <c r="D19">
        <f>Table1346[[#This Row],[X - Mean]]^2</f>
        <v>5.2900000000000036</v>
      </c>
      <c r="E19" s="6">
        <f>Table1346[[#This Row],[X - Mean]]/$J$4</f>
        <v>0.30560337252255038</v>
      </c>
      <c r="F19" s="6"/>
      <c r="G19">
        <v>6</v>
      </c>
      <c r="H19" s="9">
        <f t="shared" si="0"/>
        <v>8.3004696178250669E-4</v>
      </c>
    </row>
    <row r="20" spans="1:8" x14ac:dyDescent="0.35">
      <c r="A20" t="s">
        <v>13</v>
      </c>
      <c r="B20">
        <v>31</v>
      </c>
      <c r="C20">
        <f>Table1346[[#This Row],[Work ex]]-$H$2</f>
        <v>3.3000000000000007</v>
      </c>
      <c r="D20">
        <f>Table1346[[#This Row],[X - Mean]]^2</f>
        <v>10.890000000000004</v>
      </c>
      <c r="E20" s="6">
        <f>Table1346[[#This Row],[X - Mean]]/$J$4</f>
        <v>0.43847440405409399</v>
      </c>
      <c r="F20" s="6"/>
      <c r="G20">
        <v>6.5</v>
      </c>
      <c r="H20" s="9">
        <f t="shared" si="0"/>
        <v>1.0030785052554997E-3</v>
      </c>
    </row>
    <row r="21" spans="1:8" x14ac:dyDescent="0.35">
      <c r="A21" t="s">
        <v>14</v>
      </c>
      <c r="B21">
        <v>32</v>
      </c>
      <c r="C21">
        <f>Table1346[[#This Row],[Work ex]]-$H$2</f>
        <v>4.3000000000000007</v>
      </c>
      <c r="D21">
        <f>Table1346[[#This Row],[X - Mean]]^2</f>
        <v>18.490000000000006</v>
      </c>
      <c r="E21" s="6">
        <f>Table1346[[#This Row],[X - Mean]]/$J$4</f>
        <v>0.57134543558563766</v>
      </c>
      <c r="F21" s="6"/>
      <c r="G21">
        <v>7</v>
      </c>
      <c r="H21" s="9">
        <f t="shared" si="0"/>
        <v>1.2068418115115589E-3</v>
      </c>
    </row>
    <row r="22" spans="1:8" x14ac:dyDescent="0.35">
      <c r="A22" t="s">
        <v>15</v>
      </c>
      <c r="B22">
        <v>33</v>
      </c>
      <c r="C22">
        <f>Table1346[[#This Row],[Work ex]]-$H$2</f>
        <v>5.3000000000000007</v>
      </c>
      <c r="D22">
        <f>Table1346[[#This Row],[X - Mean]]^2</f>
        <v>28.090000000000007</v>
      </c>
      <c r="E22" s="6">
        <f>Table1346[[#This Row],[X - Mean]]/$J$4</f>
        <v>0.70421646711718122</v>
      </c>
      <c r="F22" s="6"/>
      <c r="G22">
        <v>7.5</v>
      </c>
      <c r="H22" s="9">
        <f t="shared" si="0"/>
        <v>1.4456026514994317E-3</v>
      </c>
    </row>
    <row r="23" spans="1:8" x14ac:dyDescent="0.35">
      <c r="A23" t="s">
        <v>16</v>
      </c>
      <c r="B23">
        <v>33</v>
      </c>
      <c r="C23">
        <f>Table1346[[#This Row],[Work ex]]-$H$2</f>
        <v>5.3000000000000007</v>
      </c>
      <c r="D23">
        <f>Table1346[[#This Row],[X - Mean]]^2</f>
        <v>28.090000000000007</v>
      </c>
      <c r="E23" s="6">
        <f>Table1346[[#This Row],[X - Mean]]/$J$4</f>
        <v>0.70421646711718122</v>
      </c>
      <c r="F23" s="6"/>
      <c r="G23">
        <v>8</v>
      </c>
      <c r="H23" s="9">
        <f t="shared" si="0"/>
        <v>1.7239739068814072E-3</v>
      </c>
    </row>
    <row r="24" spans="1:8" x14ac:dyDescent="0.35">
      <c r="A24" t="s">
        <v>17</v>
      </c>
      <c r="B24">
        <v>34</v>
      </c>
      <c r="C24">
        <f>Table1346[[#This Row],[Work ex]]-$H$2</f>
        <v>6.3000000000000007</v>
      </c>
      <c r="D24">
        <f>Table1346[[#This Row],[X - Mean]]^2</f>
        <v>39.690000000000012</v>
      </c>
      <c r="E24" s="6">
        <f>Table1346[[#This Row],[X - Mean]]/$J$4</f>
        <v>0.83708749864872478</v>
      </c>
      <c r="F24" s="6"/>
      <c r="G24">
        <v>8.5</v>
      </c>
      <c r="H24" s="9">
        <f t="shared" si="0"/>
        <v>2.0468951858442471E-3</v>
      </c>
    </row>
    <row r="25" spans="1:8" x14ac:dyDescent="0.35">
      <c r="A25" t="s">
        <v>18</v>
      </c>
      <c r="B25">
        <v>35</v>
      </c>
      <c r="C25">
        <f>Table1346[[#This Row],[Work ex]]-$H$2</f>
        <v>7.3000000000000007</v>
      </c>
      <c r="D25">
        <f>Table1346[[#This Row],[X - Mean]]^2</f>
        <v>53.290000000000013</v>
      </c>
      <c r="E25" s="6">
        <f>Table1346[[#This Row],[X - Mean]]/$J$4</f>
        <v>0.96995853018026845</v>
      </c>
      <c r="F25" s="6"/>
      <c r="G25">
        <v>9</v>
      </c>
      <c r="H25" s="9">
        <f t="shared" si="0"/>
        <v>2.4196006079140833E-3</v>
      </c>
    </row>
    <row r="26" spans="1:8" x14ac:dyDescent="0.35">
      <c r="A26" t="s">
        <v>19</v>
      </c>
      <c r="B26">
        <v>35</v>
      </c>
      <c r="C26">
        <f>Table1346[[#This Row],[Work ex]]-$H$2</f>
        <v>7.3000000000000007</v>
      </c>
      <c r="D26">
        <f>Table1346[[#This Row],[X - Mean]]^2</f>
        <v>53.290000000000013</v>
      </c>
      <c r="E26" s="6">
        <f>Table1346[[#This Row],[X - Mean]]/$J$4</f>
        <v>0.96995853018026845</v>
      </c>
      <c r="F26" s="6"/>
      <c r="G26">
        <v>9.5</v>
      </c>
      <c r="H26" s="9">
        <f t="shared" si="0"/>
        <v>2.847573413252054E-3</v>
      </c>
    </row>
    <row r="27" spans="1:8" x14ac:dyDescent="0.35">
      <c r="G27">
        <v>10</v>
      </c>
      <c r="H27" s="9">
        <f t="shared" si="0"/>
        <v>3.336486239312866E-3</v>
      </c>
    </row>
    <row r="28" spans="1:8" x14ac:dyDescent="0.35">
      <c r="G28">
        <v>10.5</v>
      </c>
      <c r="H28" s="9">
        <f t="shared" si="0"/>
        <v>3.8921261744304619E-3</v>
      </c>
    </row>
    <row r="29" spans="1:8" x14ac:dyDescent="0.35">
      <c r="G29">
        <v>11</v>
      </c>
      <c r="H29" s="9">
        <f t="shared" si="0"/>
        <v>4.5203040469826029E-3</v>
      </c>
    </row>
    <row r="30" spans="1:8" x14ac:dyDescent="0.35">
      <c r="G30">
        <v>11.5</v>
      </c>
      <c r="H30" s="9">
        <f t="shared" si="0"/>
        <v>5.2267478400479517E-3</v>
      </c>
    </row>
    <row r="31" spans="1:8" x14ac:dyDescent="0.35">
      <c r="G31">
        <v>12</v>
      </c>
      <c r="H31" s="9">
        <f t="shared" si="0"/>
        <v>6.0169806307263513E-3</v>
      </c>
    </row>
    <row r="32" spans="1:8" x14ac:dyDescent="0.35">
      <c r="G32">
        <v>12.5</v>
      </c>
      <c r="H32" s="9">
        <f t="shared" si="0"/>
        <v>6.8961840319500117E-3</v>
      </c>
    </row>
    <row r="33" spans="7:8" x14ac:dyDescent="0.35">
      <c r="G33">
        <v>13</v>
      </c>
      <c r="H33" s="9">
        <f t="shared" si="0"/>
        <v>7.8690487493659114E-3</v>
      </c>
    </row>
    <row r="34" spans="7:8" x14ac:dyDescent="0.35">
      <c r="G34">
        <v>13.5</v>
      </c>
      <c r="H34" s="9">
        <f t="shared" si="0"/>
        <v>8.9396145386231064E-3</v>
      </c>
    </row>
    <row r="35" spans="7:8" x14ac:dyDescent="0.35">
      <c r="G35">
        <v>14</v>
      </c>
      <c r="H35" s="9">
        <f t="shared" si="0"/>
        <v>1.0111102536451954E-2</v>
      </c>
    </row>
    <row r="36" spans="7:8" x14ac:dyDescent="0.35">
      <c r="G36">
        <v>14.5</v>
      </c>
      <c r="H36" s="9">
        <f t="shared" si="0"/>
        <v>1.138574361543662E-2</v>
      </c>
    </row>
    <row r="37" spans="7:8" x14ac:dyDescent="0.35">
      <c r="G37">
        <v>15</v>
      </c>
      <c r="H37" s="9">
        <f t="shared" si="0"/>
        <v>1.2764607047152241E-2</v>
      </c>
    </row>
    <row r="38" spans="7:8" x14ac:dyDescent="0.35">
      <c r="G38">
        <v>15.5</v>
      </c>
      <c r="H38" s="9">
        <f t="shared" si="0"/>
        <v>1.4247434318870385E-2</v>
      </c>
    </row>
    <row r="39" spans="7:8" x14ac:dyDescent="0.35">
      <c r="G39">
        <v>16</v>
      </c>
      <c r="H39" s="9">
        <f t="shared" ref="H39:H70" si="1">_xlfn.NORM.DIST(G39,$H$2,$J$4,FALSE)</f>
        <v>1.5832483401898457E-2</v>
      </c>
    </row>
    <row r="40" spans="7:8" x14ac:dyDescent="0.35">
      <c r="G40">
        <v>16.5</v>
      </c>
      <c r="H40" s="9">
        <f t="shared" si="1"/>
        <v>1.7516389082033811E-2</v>
      </c>
    </row>
    <row r="41" spans="7:8" x14ac:dyDescent="0.35">
      <c r="G41">
        <v>17</v>
      </c>
      <c r="H41" s="9">
        <f t="shared" si="1"/>
        <v>1.9294045104216933E-2</v>
      </c>
    </row>
    <row r="42" spans="7:8" x14ac:dyDescent="0.35">
      <c r="G42">
        <v>17.5</v>
      </c>
      <c r="H42" s="9">
        <f t="shared" si="1"/>
        <v>2.1158513828157026E-2</v>
      </c>
    </row>
    <row r="43" spans="7:8" x14ac:dyDescent="0.35">
      <c r="G43">
        <v>18</v>
      </c>
      <c r="H43" s="9">
        <f t="shared" si="1"/>
        <v>2.3100968819469603E-2</v>
      </c>
    </row>
    <row r="44" spans="7:8" x14ac:dyDescent="0.35">
      <c r="G44">
        <v>18.5</v>
      </c>
      <c r="H44" s="9">
        <f t="shared" si="1"/>
        <v>2.5110675299498918E-2</v>
      </c>
    </row>
    <row r="45" spans="7:8" x14ac:dyDescent="0.35">
      <c r="G45">
        <v>19</v>
      </c>
      <c r="H45" s="9">
        <f t="shared" si="1"/>
        <v>2.7175012643556113E-2</v>
      </c>
    </row>
    <row r="46" spans="7:8" x14ac:dyDescent="0.35">
      <c r="G46">
        <v>19.5</v>
      </c>
      <c r="H46" s="9">
        <f t="shared" si="1"/>
        <v>2.9279542159214342E-2</v>
      </c>
    </row>
    <row r="47" spans="7:8" x14ac:dyDescent="0.35">
      <c r="G47">
        <v>20</v>
      </c>
      <c r="H47" s="9">
        <f t="shared" si="1"/>
        <v>3.1408122212013896E-2</v>
      </c>
    </row>
    <row r="48" spans="7:8" x14ac:dyDescent="0.35">
      <c r="G48">
        <v>20.5</v>
      </c>
      <c r="H48" s="9">
        <f t="shared" si="1"/>
        <v>3.3543071425018632E-2</v>
      </c>
    </row>
    <row r="49" spans="7:8" x14ac:dyDescent="0.35">
      <c r="G49">
        <v>21</v>
      </c>
      <c r="H49" s="9">
        <f t="shared" si="1"/>
        <v>3.5665379201332233E-2</v>
      </c>
    </row>
    <row r="50" spans="7:8" x14ac:dyDescent="0.35">
      <c r="G50">
        <v>21.5</v>
      </c>
      <c r="H50" s="9">
        <f t="shared" si="1"/>
        <v>3.7754961254642311E-2</v>
      </c>
    </row>
    <row r="51" spans="7:8" x14ac:dyDescent="0.35">
      <c r="G51">
        <v>22</v>
      </c>
      <c r="H51" s="9">
        <f t="shared" si="1"/>
        <v>3.9790956239602208E-2</v>
      </c>
    </row>
    <row r="52" spans="7:8" x14ac:dyDescent="0.35">
      <c r="G52">
        <v>22.5</v>
      </c>
      <c r="H52" s="9">
        <f t="shared" si="1"/>
        <v>4.17520580143627E-2</v>
      </c>
    </row>
    <row r="53" spans="7:8" x14ac:dyDescent="0.35">
      <c r="G53">
        <v>23</v>
      </c>
      <c r="H53" s="9">
        <f t="shared" si="1"/>
        <v>4.3616876607546075E-2</v>
      </c>
    </row>
    <row r="54" spans="7:8" x14ac:dyDescent="0.35">
      <c r="G54">
        <v>23.5</v>
      </c>
      <c r="H54" s="9">
        <f t="shared" si="1"/>
        <v>4.5364319666775836E-2</v>
      </c>
    </row>
    <row r="55" spans="7:8" x14ac:dyDescent="0.35">
      <c r="G55">
        <v>24</v>
      </c>
      <c r="H55" s="9">
        <f t="shared" si="1"/>
        <v>4.697398509729124E-2</v>
      </c>
    </row>
    <row r="56" spans="7:8" x14ac:dyDescent="0.35">
      <c r="G56">
        <v>24.5</v>
      </c>
      <c r="H56" s="9">
        <f t="shared" si="1"/>
        <v>4.8426554812064648E-2</v>
      </c>
    </row>
    <row r="57" spans="7:8" x14ac:dyDescent="0.35">
      <c r="G57">
        <v>25</v>
      </c>
      <c r="H57" s="9">
        <f t="shared" si="1"/>
        <v>4.9704179054151157E-2</v>
      </c>
    </row>
    <row r="58" spans="7:8" x14ac:dyDescent="0.35">
      <c r="G58">
        <v>25.5</v>
      </c>
      <c r="H58" s="9">
        <f t="shared" si="1"/>
        <v>5.0790840650066636E-2</v>
      </c>
    </row>
    <row r="59" spans="7:8" x14ac:dyDescent="0.35">
      <c r="G59">
        <v>26</v>
      </c>
      <c r="H59" s="9">
        <f t="shared" si="1"/>
        <v>5.1672688827414985E-2</v>
      </c>
    </row>
    <row r="60" spans="7:8" x14ac:dyDescent="0.35">
      <c r="G60">
        <v>26.5</v>
      </c>
      <c r="H60" s="9">
        <f t="shared" si="1"/>
        <v>5.233833288221653E-2</v>
      </c>
    </row>
    <row r="61" spans="7:8" x14ac:dyDescent="0.35">
      <c r="G61">
        <v>27</v>
      </c>
      <c r="H61" s="9">
        <f t="shared" si="1"/>
        <v>5.2779086996121917E-2</v>
      </c>
    </row>
    <row r="62" spans="7:8" x14ac:dyDescent="0.35">
      <c r="G62">
        <v>27.5</v>
      </c>
      <c r="H62" s="9">
        <f t="shared" si="1"/>
        <v>5.2989158849136402E-2</v>
      </c>
    </row>
    <row r="63" spans="7:8" x14ac:dyDescent="0.35">
      <c r="G63">
        <v>28</v>
      </c>
      <c r="H63" s="9">
        <f t="shared" si="1"/>
        <v>5.2965776302500094E-2</v>
      </c>
    </row>
    <row r="64" spans="7:8" x14ac:dyDescent="0.35">
      <c r="G64">
        <v>28.5</v>
      </c>
      <c r="H64" s="9">
        <f t="shared" si="1"/>
        <v>5.2709248278502589E-2</v>
      </c>
    </row>
    <row r="65" spans="7:8" x14ac:dyDescent="0.35">
      <c r="G65">
        <v>29</v>
      </c>
      <c r="H65" s="9">
        <f t="shared" si="1"/>
        <v>5.2222957968174034E-2</v>
      </c>
    </row>
    <row r="66" spans="7:8" x14ac:dyDescent="0.35">
      <c r="G66">
        <v>29.5</v>
      </c>
      <c r="H66" s="9">
        <f t="shared" si="1"/>
        <v>5.1513288575626398E-2</v>
      </c>
    </row>
    <row r="67" spans="7:8" x14ac:dyDescent="0.35">
      <c r="G67">
        <v>30</v>
      </c>
      <c r="H67" s="9">
        <f t="shared" si="1"/>
        <v>5.0589483877412418E-2</v>
      </c>
    </row>
    <row r="68" spans="7:8" x14ac:dyDescent="0.35">
      <c r="G68">
        <v>30.5</v>
      </c>
      <c r="H68" s="9">
        <f t="shared" si="1"/>
        <v>4.9463447855115035E-2</v>
      </c>
    </row>
    <row r="69" spans="7:8" x14ac:dyDescent="0.35">
      <c r="G69">
        <v>31</v>
      </c>
      <c r="H69" s="9">
        <f t="shared" si="1"/>
        <v>4.8149489472281592E-2</v>
      </c>
    </row>
    <row r="70" spans="7:8" x14ac:dyDescent="0.35">
      <c r="G70">
        <v>31.5</v>
      </c>
      <c r="H70" s="9">
        <f t="shared" si="1"/>
        <v>4.666402024356793E-2</v>
      </c>
    </row>
    <row r="71" spans="7:8" x14ac:dyDescent="0.35">
      <c r="G71">
        <v>32</v>
      </c>
      <c r="H71" s="9">
        <f t="shared" ref="H71:H102" si="2">_xlfn.NORM.DIST(G71,$H$2,$J$4,FALSE)</f>
        <v>4.5025213526559069E-2</v>
      </c>
    </row>
    <row r="72" spans="7:8" x14ac:dyDescent="0.35">
      <c r="G72">
        <v>32.5</v>
      </c>
      <c r="H72" s="9">
        <f t="shared" si="2"/>
        <v>4.3252635410992356E-2</v>
      </c>
    </row>
    <row r="73" spans="7:8" x14ac:dyDescent="0.35">
      <c r="G73">
        <v>33</v>
      </c>
      <c r="H73" s="9">
        <f t="shared" si="2"/>
        <v>4.136685765746554E-2</v>
      </c>
    </row>
    <row r="74" spans="7:8" x14ac:dyDescent="0.35">
      <c r="G74">
        <v>33.5</v>
      </c>
      <c r="H74" s="9">
        <f t="shared" si="2"/>
        <v>3.9389063336218028E-2</v>
      </c>
    </row>
    <row r="75" spans="7:8" x14ac:dyDescent="0.35">
      <c r="G75">
        <v>34</v>
      </c>
      <c r="H75" s="9">
        <f t="shared" si="2"/>
        <v>3.7340655640984641E-2</v>
      </c>
    </row>
    <row r="76" spans="7:8" x14ac:dyDescent="0.35">
      <c r="G76">
        <v>34.5</v>
      </c>
      <c r="H76" s="9">
        <f t="shared" si="2"/>
        <v>3.524287982392315E-2</v>
      </c>
    </row>
    <row r="77" spans="7:8" x14ac:dyDescent="0.35">
      <c r="G77">
        <v>35</v>
      </c>
      <c r="H77" s="9">
        <f t="shared" si="2"/>
        <v>3.3116467350255793E-2</v>
      </c>
    </row>
    <row r="78" spans="7:8" x14ac:dyDescent="0.35">
      <c r="G78">
        <v>35.5</v>
      </c>
      <c r="H78" s="9">
        <f t="shared" si="2"/>
        <v>3.0981310252705771E-2</v>
      </c>
    </row>
    <row r="79" spans="7:8" x14ac:dyDescent="0.35">
      <c r="G79">
        <v>36</v>
      </c>
      <c r="H79" s="9">
        <f t="shared" si="2"/>
        <v>2.8856172332559119E-2</v>
      </c>
    </row>
    <row r="80" spans="7:8" x14ac:dyDescent="0.35">
      <c r="G80">
        <v>36.5</v>
      </c>
      <c r="H80" s="9">
        <f t="shared" si="2"/>
        <v>2.6758442368980149E-2</v>
      </c>
    </row>
    <row r="81" spans="7:8" x14ac:dyDescent="0.35">
      <c r="G81">
        <v>37</v>
      </c>
      <c r="H81" s="9">
        <f t="shared" si="2"/>
        <v>2.4703932926746552E-2</v>
      </c>
    </row>
    <row r="82" spans="7:8" x14ac:dyDescent="0.35">
      <c r="G82">
        <v>37.5</v>
      </c>
      <c r="H82" s="9">
        <f t="shared" si="2"/>
        <v>2.2706726760255869E-2</v>
      </c>
    </row>
    <row r="83" spans="7:8" x14ac:dyDescent="0.35">
      <c r="G83">
        <v>38</v>
      </c>
      <c r="H83" s="9">
        <f t="shared" si="2"/>
        <v>2.0779071260576008E-2</v>
      </c>
    </row>
    <row r="84" spans="7:8" x14ac:dyDescent="0.35">
      <c r="G84">
        <v>38.5</v>
      </c>
      <c r="H84" s="9">
        <f t="shared" si="2"/>
        <v>1.8931319938570335E-2</v>
      </c>
    </row>
    <row r="85" spans="7:8" x14ac:dyDescent="0.35">
      <c r="G85">
        <v>39</v>
      </c>
      <c r="H85" s="9">
        <f t="shared" si="2"/>
        <v>1.7171918628652003E-2</v>
      </c>
    </row>
    <row r="86" spans="7:8" x14ac:dyDescent="0.35">
      <c r="G86">
        <v>39.5</v>
      </c>
      <c r="H86" s="9">
        <f t="shared" si="2"/>
        <v>1.5507432972661227E-2</v>
      </c>
    </row>
    <row r="87" spans="7:8" x14ac:dyDescent="0.35">
      <c r="G87">
        <v>40</v>
      </c>
      <c r="H87" s="9">
        <f t="shared" si="2"/>
        <v>1.3942612829080287E-2</v>
      </c>
    </row>
    <row r="88" spans="7:8" x14ac:dyDescent="0.35">
      <c r="G88">
        <v>40.5</v>
      </c>
      <c r="H88" s="9">
        <f t="shared" si="2"/>
        <v>1.2480488565524833E-2</v>
      </c>
    </row>
    <row r="89" spans="7:8" x14ac:dyDescent="0.35">
      <c r="G89">
        <v>41</v>
      </c>
      <c r="H89" s="9">
        <f t="shared" si="2"/>
        <v>1.1122493737460151E-2</v>
      </c>
    </row>
    <row r="90" spans="7:8" x14ac:dyDescent="0.35">
      <c r="G90">
        <v>41.5</v>
      </c>
      <c r="H90" s="9">
        <f t="shared" si="2"/>
        <v>9.8686084284911706E-3</v>
      </c>
    </row>
    <row r="91" spans="7:8" x14ac:dyDescent="0.35">
      <c r="G91">
        <v>42</v>
      </c>
      <c r="H91" s="9">
        <f t="shared" si="2"/>
        <v>8.7175175134684146E-3</v>
      </c>
    </row>
    <row r="92" spans="7:8" x14ac:dyDescent="0.35">
      <c r="G92">
        <v>42.5</v>
      </c>
      <c r="H92" s="9">
        <f t="shared" si="2"/>
        <v>7.6667782836693094E-3</v>
      </c>
    </row>
    <row r="93" spans="7:8" x14ac:dyDescent="0.35">
      <c r="G93">
        <v>43</v>
      </c>
      <c r="H93" s="9">
        <f t="shared" si="2"/>
        <v>6.7129922163514568E-3</v>
      </c>
    </row>
    <row r="94" spans="7:8" x14ac:dyDescent="0.35">
      <c r="G94">
        <v>43.5</v>
      </c>
      <c r="H94" s="9">
        <f t="shared" si="2"/>
        <v>5.8519761480382675E-3</v>
      </c>
    </row>
    <row r="95" spans="7:8" x14ac:dyDescent="0.35">
      <c r="G95">
        <v>44</v>
      </c>
      <c r="H95" s="9">
        <f t="shared" si="2"/>
        <v>5.0789286889430692E-3</v>
      </c>
    </row>
    <row r="96" spans="7:8" x14ac:dyDescent="0.35">
      <c r="G96">
        <v>44.5</v>
      </c>
      <c r="H96" s="9">
        <f t="shared" si="2"/>
        <v>4.3885883616009641E-3</v>
      </c>
    </row>
    <row r="97" spans="7:8" x14ac:dyDescent="0.35">
      <c r="G97">
        <v>45</v>
      </c>
      <c r="H97" s="9">
        <f t="shared" si="2"/>
        <v>3.7753806279220391E-3</v>
      </c>
    </row>
    <row r="98" spans="7:8" x14ac:dyDescent="0.35">
      <c r="G98">
        <v>45.5</v>
      </c>
      <c r="H98" s="9">
        <f t="shared" si="2"/>
        <v>3.2335516558967925E-3</v>
      </c>
    </row>
    <row r="99" spans="7:8" x14ac:dyDescent="0.35">
      <c r="G99">
        <v>46</v>
      </c>
      <c r="H99" s="9">
        <f t="shared" si="2"/>
        <v>2.7572873440114194E-3</v>
      </c>
    </row>
    <row r="100" spans="7:8" x14ac:dyDescent="0.35">
      <c r="G100">
        <v>46.5</v>
      </c>
      <c r="H100" s="9">
        <f t="shared" si="2"/>
        <v>2.3408167462591594E-3</v>
      </c>
    </row>
    <row r="101" spans="7:8" x14ac:dyDescent="0.35">
      <c r="G101">
        <v>47</v>
      </c>
      <c r="H101" s="9">
        <f t="shared" si="2"/>
        <v>1.9784996063221035E-3</v>
      </c>
    </row>
    <row r="102" spans="7:8" x14ac:dyDescent="0.35">
      <c r="G102">
        <v>47.5</v>
      </c>
      <c r="H102" s="9">
        <f t="shared" si="2"/>
        <v>1.6648982036965468E-3</v>
      </c>
    </row>
    <row r="103" spans="7:8" x14ac:dyDescent="0.35">
      <c r="G103">
        <v>48</v>
      </c>
      <c r="H103" s="9">
        <f t="shared" ref="H103:H119" si="3">_xlfn.NORM.DIST(G103,$H$2,$J$4,FALSE)</f>
        <v>1.3948341295624545E-3</v>
      </c>
    </row>
    <row r="104" spans="7:8" x14ac:dyDescent="0.35">
      <c r="G104">
        <v>48.5</v>
      </c>
      <c r="H104" s="9">
        <f t="shared" si="3"/>
        <v>1.1634309427058487E-3</v>
      </c>
    </row>
    <row r="105" spans="7:8" x14ac:dyDescent="0.35">
      <c r="G105">
        <v>49</v>
      </c>
      <c r="H105" s="9">
        <f t="shared" si="3"/>
        <v>9.6614390628323025E-4</v>
      </c>
    </row>
    <row r="106" spans="7:8" x14ac:dyDescent="0.35">
      <c r="G106">
        <v>49.5</v>
      </c>
      <c r="H106" s="9">
        <f t="shared" si="3"/>
        <v>7.9877817839222882E-4</v>
      </c>
    </row>
    <row r="107" spans="7:8" x14ac:dyDescent="0.35">
      <c r="G107">
        <v>50</v>
      </c>
      <c r="H107" s="9">
        <f t="shared" si="3"/>
        <v>6.5749692956867999E-4</v>
      </c>
    </row>
    <row r="108" spans="7:8" x14ac:dyDescent="0.35">
      <c r="G108">
        <v>50.5</v>
      </c>
      <c r="H108" s="9">
        <f t="shared" si="3"/>
        <v>5.3882089662844355E-4</v>
      </c>
    </row>
    <row r="109" spans="7:8" x14ac:dyDescent="0.35">
      <c r="G109">
        <v>51</v>
      </c>
      <c r="H109" s="9">
        <f t="shared" si="3"/>
        <v>4.3962086408350797E-4</v>
      </c>
    </row>
    <row r="110" spans="7:8" x14ac:dyDescent="0.35">
      <c r="G110">
        <v>51.5</v>
      </c>
      <c r="H110" s="9">
        <f t="shared" si="3"/>
        <v>3.5710450165158753E-4</v>
      </c>
    </row>
    <row r="111" spans="7:8" x14ac:dyDescent="0.35">
      <c r="G111">
        <v>52</v>
      </c>
      <c r="H111" s="9">
        <f t="shared" si="3"/>
        <v>2.8879888916784438E-4</v>
      </c>
    </row>
    <row r="112" spans="7:8" x14ac:dyDescent="0.35">
      <c r="G112">
        <v>52.5</v>
      </c>
      <c r="H112" s="9">
        <f t="shared" si="3"/>
        <v>2.3252993812479056E-4</v>
      </c>
    </row>
    <row r="113" spans="7:8" x14ac:dyDescent="0.35">
      <c r="G113">
        <v>53</v>
      </c>
      <c r="H113" s="9">
        <f t="shared" si="3"/>
        <v>1.8639978099610179E-4</v>
      </c>
    </row>
    <row r="114" spans="7:8" x14ac:dyDescent="0.35">
      <c r="G114">
        <v>53.5</v>
      </c>
      <c r="H114" s="9">
        <f t="shared" si="3"/>
        <v>1.4876305332981975E-4</v>
      </c>
    </row>
    <row r="115" spans="7:8" x14ac:dyDescent="0.35">
      <c r="G115">
        <v>54</v>
      </c>
      <c r="H115" s="9">
        <f t="shared" si="3"/>
        <v>1.1820284605889542E-4</v>
      </c>
    </row>
    <row r="116" spans="7:8" x14ac:dyDescent="0.35">
      <c r="G116">
        <v>54.5</v>
      </c>
      <c r="H116" s="9">
        <f t="shared" si="3"/>
        <v>9.3506962075270736E-5</v>
      </c>
    </row>
    <row r="117" spans="7:8" x14ac:dyDescent="0.35">
      <c r="G117">
        <v>55</v>
      </c>
      <c r="H117" s="9">
        <f t="shared" si="3"/>
        <v>7.3644976119153553E-5</v>
      </c>
    </row>
    <row r="118" spans="7:8" x14ac:dyDescent="0.35">
      <c r="G118">
        <v>55.5</v>
      </c>
      <c r="H118" s="9">
        <f t="shared" si="3"/>
        <v>5.7746473544197018E-5</v>
      </c>
    </row>
    <row r="119" spans="7:8" x14ac:dyDescent="0.35">
      <c r="G119">
        <v>56</v>
      </c>
      <c r="H119" s="9">
        <f t="shared" si="3"/>
        <v>4.5080733553903745E-5</v>
      </c>
    </row>
  </sheetData>
  <pageMargins left="0.7" right="0.7" top="0.75" bottom="0.75" header="0.3" footer="0.3"/>
  <pageSetup orientation="portrait" horizontalDpi="1200" verticalDpi="1200" r:id="rId1"/>
  <drawing r:id="rId2"/>
  <tableParts count="2">
    <tablePart r:id="rId3"/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46AB6-7E13-4863-BC1A-60DFD803BD5E}">
  <dimension ref="A1:J119"/>
  <sheetViews>
    <sheetView showGridLines="0" topLeftCell="F1" workbookViewId="0">
      <selection activeCell="Z26" sqref="Z26"/>
    </sheetView>
  </sheetViews>
  <sheetFormatPr defaultRowHeight="14.5" outlineLevelCol="1" x14ac:dyDescent="0.35"/>
  <cols>
    <col min="1" max="1" width="12" hidden="1" customWidth="1" outlineLevel="1"/>
    <col min="2" max="2" width="11.7265625" hidden="1" customWidth="1" outlineLevel="1"/>
    <col min="3" max="3" width="16.1796875" hidden="1" customWidth="1" outlineLevel="1"/>
    <col min="4" max="4" width="15.1796875" hidden="1" customWidth="1" outlineLevel="1"/>
    <col min="5" max="5" width="13.1796875" hidden="1" customWidth="1" outlineLevel="1"/>
    <col min="6" max="6" width="13.1796875" customWidth="1" collapsed="1"/>
    <col min="7" max="7" width="9.7265625" customWidth="1"/>
    <col min="8" max="8" width="10.1796875" customWidth="1"/>
    <col min="9" max="9" width="14.7265625" customWidth="1"/>
  </cols>
  <sheetData>
    <row r="1" spans="1:10" ht="15" thickBot="1" x14ac:dyDescent="0.4"/>
    <row r="2" spans="1:10" ht="17" thickBot="1" x14ac:dyDescent="0.4">
      <c r="G2" s="3" t="s">
        <v>20</v>
      </c>
      <c r="H2" s="2">
        <f>AVERAGE(Table13469[Work ex])</f>
        <v>27.7</v>
      </c>
      <c r="I2" s="4" t="s">
        <v>27</v>
      </c>
      <c r="J2" s="2">
        <f>SUM(Table13469[Sq (X - Mean)])</f>
        <v>1076.2</v>
      </c>
    </row>
    <row r="3" spans="1:10" ht="15" thickBot="1" x14ac:dyDescent="0.4">
      <c r="G3" s="3" t="s">
        <v>23</v>
      </c>
      <c r="H3" s="2">
        <f>MEDIAN(Table13469[Work ex])</f>
        <v>28</v>
      </c>
      <c r="I3" s="4" t="s">
        <v>28</v>
      </c>
      <c r="J3" s="2">
        <f>COUNT(Table13469[Work ex])-1</f>
        <v>19</v>
      </c>
    </row>
    <row r="4" spans="1:10" ht="17" thickBot="1" x14ac:dyDescent="0.5">
      <c r="G4" s="3" t="s">
        <v>24</v>
      </c>
      <c r="H4" s="2">
        <f>MAX(Table13469[Work ex])-MIN(Table13469[Work ex])</f>
        <v>35</v>
      </c>
      <c r="I4" s="4" t="s">
        <v>29</v>
      </c>
      <c r="J4" s="5">
        <f>SQRT(J2/J3)</f>
        <v>7.5260949544340656</v>
      </c>
    </row>
    <row r="6" spans="1:10" x14ac:dyDescent="0.35">
      <c r="A6" t="s">
        <v>21</v>
      </c>
      <c r="B6" t="s">
        <v>22</v>
      </c>
      <c r="C6" t="s">
        <v>26</v>
      </c>
      <c r="D6" t="s">
        <v>25</v>
      </c>
      <c r="E6" t="s">
        <v>30</v>
      </c>
      <c r="G6" t="s">
        <v>31</v>
      </c>
      <c r="H6" t="s">
        <v>32</v>
      </c>
    </row>
    <row r="7" spans="1:10" x14ac:dyDescent="0.35">
      <c r="A7" t="s">
        <v>0</v>
      </c>
      <c r="B7">
        <v>0</v>
      </c>
      <c r="C7">
        <f>Table13469[[#This Row],[Work ex]]-$H$2</f>
        <v>-27.7</v>
      </c>
      <c r="D7">
        <f>Table13469[[#This Row],[X - Mean]]^2</f>
        <v>767.29</v>
      </c>
      <c r="E7" s="6">
        <f>Table13469[[#This Row],[X - Mean]]/$J$4</f>
        <v>-3.6805275734237579</v>
      </c>
      <c r="F7" s="6"/>
      <c r="G7">
        <v>0</v>
      </c>
      <c r="H7" s="7">
        <f>Table478[[#This Row],[X-values]]^2*EXP(-Table478[[#This Row],[X-values]]/7)</f>
        <v>0</v>
      </c>
    </row>
    <row r="8" spans="1:10" x14ac:dyDescent="0.35">
      <c r="A8" t="s">
        <v>1</v>
      </c>
      <c r="B8">
        <v>21</v>
      </c>
      <c r="C8">
        <f>Table13469[[#This Row],[Work ex]]-$H$2</f>
        <v>-6.6999999999999993</v>
      </c>
      <c r="D8">
        <f>Table13469[[#This Row],[X - Mean]]^2</f>
        <v>44.889999999999993</v>
      </c>
      <c r="E8" s="6">
        <f>Table13469[[#This Row],[X - Mean]]/$J$4</f>
        <v>-0.89023591126134205</v>
      </c>
      <c r="F8" s="6"/>
      <c r="G8">
        <v>0.5</v>
      </c>
      <c r="H8" s="7">
        <f>Table478[[#This Row],[X-values]]^2*EXP(-Table478[[#This Row],[X-values]]/7)</f>
        <v>0.23276569492600568</v>
      </c>
    </row>
    <row r="9" spans="1:10" x14ac:dyDescent="0.35">
      <c r="A9" t="s">
        <v>2</v>
      </c>
      <c r="B9">
        <v>24</v>
      </c>
      <c r="C9">
        <f>Table13469[[#This Row],[Work ex]]-$H$2</f>
        <v>-3.6999999999999993</v>
      </c>
      <c r="D9">
        <f>Table13469[[#This Row],[X - Mean]]^2</f>
        <v>13.689999999999994</v>
      </c>
      <c r="E9" s="6">
        <f>Table13469[[#This Row],[X - Mean]]/$J$4</f>
        <v>-0.49162281666671126</v>
      </c>
      <c r="F9" s="6"/>
      <c r="G9">
        <v>1</v>
      </c>
      <c r="H9" s="7">
        <f>Table478[[#This Row],[X-values]]^2*EXP(-Table478[[#This Row],[X-values]]/7)</f>
        <v>0.86687789975018159</v>
      </c>
    </row>
    <row r="10" spans="1:10" x14ac:dyDescent="0.35">
      <c r="A10" t="s">
        <v>3</v>
      </c>
      <c r="B10">
        <v>25</v>
      </c>
      <c r="C10">
        <f>Table13469[[#This Row],[Work ex]]-$H$2</f>
        <v>-2.6999999999999993</v>
      </c>
      <c r="D10">
        <f>Table13469[[#This Row],[X - Mean]]^2</f>
        <v>7.2899999999999965</v>
      </c>
      <c r="E10" s="6">
        <f>Table13469[[#This Row],[X - Mean]]/$J$4</f>
        <v>-0.35875178513516764</v>
      </c>
      <c r="F10" s="6"/>
      <c r="G10">
        <v>1.5</v>
      </c>
      <c r="H10" s="7">
        <f>Table478[[#This Row],[X-values]]^2*EXP(-Table478[[#This Row],[X-values]]/7)</f>
        <v>1.8160149307621258</v>
      </c>
    </row>
    <row r="11" spans="1:10" x14ac:dyDescent="0.35">
      <c r="A11" t="s">
        <v>4</v>
      </c>
      <c r="B11">
        <v>26</v>
      </c>
      <c r="C11">
        <f>Table13469[[#This Row],[Work ex]]-$H$2</f>
        <v>-1.6999999999999993</v>
      </c>
      <c r="D11">
        <f>Table13469[[#This Row],[X - Mean]]^2</f>
        <v>2.8899999999999975</v>
      </c>
      <c r="E11" s="6">
        <f>Table13469[[#This Row],[X - Mean]]/$J$4</f>
        <v>-0.22588075360362403</v>
      </c>
      <c r="F11" s="6"/>
      <c r="G11">
        <v>2</v>
      </c>
      <c r="H11" s="7">
        <f>Table478[[#This Row],[X-values]]^2*EXP(-Table478[[#This Row],[X-values]]/7)</f>
        <v>3.005909172301144</v>
      </c>
    </row>
    <row r="12" spans="1:10" x14ac:dyDescent="0.35">
      <c r="A12" t="s">
        <v>5</v>
      </c>
      <c r="B12">
        <v>27</v>
      </c>
      <c r="C12">
        <f>Table13469[[#This Row],[Work ex]]-$H$2</f>
        <v>-0.69999999999999929</v>
      </c>
      <c r="D12">
        <f>Table13469[[#This Row],[X - Mean]]^2</f>
        <v>0.48999999999999899</v>
      </c>
      <c r="E12" s="6">
        <f>Table13469[[#This Row],[X - Mean]]/$J$4</f>
        <v>-9.3009722072080428E-2</v>
      </c>
      <c r="F12" s="6"/>
      <c r="G12">
        <v>2.5</v>
      </c>
      <c r="H12" s="7">
        <f>Table478[[#This Row],[X-values]]^2*EXP(-Table478[[#This Row],[X-values]]/7)</f>
        <v>4.3729533585945646</v>
      </c>
    </row>
    <row r="13" spans="1:10" x14ac:dyDescent="0.35">
      <c r="A13" t="s">
        <v>6</v>
      </c>
      <c r="B13">
        <v>27</v>
      </c>
      <c r="C13">
        <f>Table13469[[#This Row],[Work ex]]-$H$2</f>
        <v>-0.69999999999999929</v>
      </c>
      <c r="D13">
        <f>Table13469[[#This Row],[X - Mean]]^2</f>
        <v>0.48999999999999899</v>
      </c>
      <c r="E13" s="6">
        <f>Table13469[[#This Row],[X - Mean]]/$J$4</f>
        <v>-9.3009722072080428E-2</v>
      </c>
      <c r="F13" s="6"/>
      <c r="G13">
        <v>3</v>
      </c>
      <c r="H13" s="7">
        <f>Table478[[#This Row],[X-values]]^2*EXP(-Table478[[#This Row],[X-values]]/7)</f>
        <v>5.8629515177795</v>
      </c>
    </row>
    <row r="14" spans="1:10" x14ac:dyDescent="0.35">
      <c r="A14" t="s">
        <v>7</v>
      </c>
      <c r="B14">
        <v>28</v>
      </c>
      <c r="C14">
        <f>Table13469[[#This Row],[Work ex]]-$H$2</f>
        <v>0.30000000000000071</v>
      </c>
      <c r="D14">
        <f>Table13469[[#This Row],[X - Mean]]^2</f>
        <v>9.0000000000000427E-2</v>
      </c>
      <c r="E14" s="6">
        <f>Table13469[[#This Row],[X - Mean]]/$J$4</f>
        <v>3.986130945946318E-2</v>
      </c>
      <c r="F14" s="6"/>
      <c r="G14">
        <v>3.5</v>
      </c>
      <c r="H14" s="7">
        <f>Table478[[#This Row],[X-values]]^2*EXP(-Table478[[#This Row],[X-values]]/7)</f>
        <v>7.4300005814797592</v>
      </c>
    </row>
    <row r="15" spans="1:10" x14ac:dyDescent="0.35">
      <c r="A15" t="s">
        <v>8</v>
      </c>
      <c r="B15">
        <v>28</v>
      </c>
      <c r="C15">
        <f>Table13469[[#This Row],[Work ex]]-$H$2</f>
        <v>0.30000000000000071</v>
      </c>
      <c r="D15">
        <f>Table13469[[#This Row],[X - Mean]]^2</f>
        <v>9.0000000000000427E-2</v>
      </c>
      <c r="E15" s="6">
        <f>Table13469[[#This Row],[X - Mean]]/$J$4</f>
        <v>3.986130945946318E-2</v>
      </c>
      <c r="F15" s="6"/>
      <c r="G15">
        <v>4</v>
      </c>
      <c r="H15" s="7">
        <f>Table478[[#This Row],[X-values]]^2*EXP(-Table478[[#This Row],[X-values]]/7)</f>
        <v>9.0354899521241485</v>
      </c>
    </row>
    <row r="16" spans="1:10" x14ac:dyDescent="0.35">
      <c r="A16" t="s">
        <v>9</v>
      </c>
      <c r="B16">
        <v>28</v>
      </c>
      <c r="C16">
        <f>Table13469[[#This Row],[Work ex]]-$H$2</f>
        <v>0.30000000000000071</v>
      </c>
      <c r="D16">
        <f>Table13469[[#This Row],[X - Mean]]^2</f>
        <v>9.0000000000000427E-2</v>
      </c>
      <c r="E16" s="6">
        <f>Table13469[[#This Row],[X - Mean]]/$J$4</f>
        <v>3.986130945946318E-2</v>
      </c>
      <c r="F16" s="6"/>
      <c r="G16">
        <v>4.5</v>
      </c>
      <c r="H16" s="7">
        <f>Table478[[#This Row],[X-values]]^2*EXP(-Table478[[#This Row],[X-values]]/7)</f>
        <v>10.647207494622041</v>
      </c>
    </row>
    <row r="17" spans="1:8" x14ac:dyDescent="0.35">
      <c r="A17" t="s">
        <v>10</v>
      </c>
      <c r="B17">
        <v>28</v>
      </c>
      <c r="C17">
        <f>Table13469[[#This Row],[Work ex]]-$H$2</f>
        <v>0.30000000000000071</v>
      </c>
      <c r="D17">
        <f>Table13469[[#This Row],[X - Mean]]^2</f>
        <v>9.0000000000000427E-2</v>
      </c>
      <c r="E17" s="6">
        <f>Table13469[[#This Row],[X - Mean]]/$J$4</f>
        <v>3.986130945946318E-2</v>
      </c>
      <c r="F17" s="6"/>
      <c r="G17">
        <v>5</v>
      </c>
      <c r="H17" s="7">
        <f>Table478[[#This Row],[X-values]]^2*EXP(-Table478[[#This Row],[X-values]]/7)</f>
        <v>12.238541488923827</v>
      </c>
    </row>
    <row r="18" spans="1:8" x14ac:dyDescent="0.35">
      <c r="A18" t="s">
        <v>11</v>
      </c>
      <c r="B18">
        <v>29</v>
      </c>
      <c r="C18">
        <f>Table13469[[#This Row],[Work ex]]-$H$2</f>
        <v>1.3000000000000007</v>
      </c>
      <c r="D18">
        <f>Table13469[[#This Row],[X - Mean]]^2</f>
        <v>1.6900000000000019</v>
      </c>
      <c r="E18" s="6">
        <f>Table13469[[#This Row],[X - Mean]]/$J$4</f>
        <v>0.17273234099100679</v>
      </c>
      <c r="F18" s="6"/>
      <c r="G18">
        <v>5.5</v>
      </c>
      <c r="H18" s="7">
        <f>Table478[[#This Row],[X-values]]^2*EXP(-Table478[[#This Row],[X-values]]/7)</f>
        <v>13.787769054422521</v>
      </c>
    </row>
    <row r="19" spans="1:8" x14ac:dyDescent="0.35">
      <c r="A19" t="s">
        <v>12</v>
      </c>
      <c r="B19">
        <v>30</v>
      </c>
      <c r="C19">
        <f>Table13469[[#This Row],[Work ex]]-$H$2</f>
        <v>2.3000000000000007</v>
      </c>
      <c r="D19">
        <f>Table13469[[#This Row],[X - Mean]]^2</f>
        <v>5.2900000000000036</v>
      </c>
      <c r="E19" s="6">
        <f>Table13469[[#This Row],[X - Mean]]/$J$4</f>
        <v>0.30560337252255038</v>
      </c>
      <c r="F19" s="6"/>
      <c r="G19">
        <v>6</v>
      </c>
      <c r="H19" s="7">
        <f>Table478[[#This Row],[X-values]]^2*EXP(-Table478[[#This Row],[X-values]]/7)</f>
        <v>15.277422444370199</v>
      </c>
    </row>
    <row r="20" spans="1:8" x14ac:dyDescent="0.35">
      <c r="A20" t="s">
        <v>13</v>
      </c>
      <c r="B20">
        <v>31</v>
      </c>
      <c r="C20">
        <f>Table13469[[#This Row],[Work ex]]-$H$2</f>
        <v>3.3000000000000007</v>
      </c>
      <c r="D20">
        <f>Table13469[[#This Row],[X - Mean]]^2</f>
        <v>10.890000000000004</v>
      </c>
      <c r="E20" s="6">
        <f>Table13469[[#This Row],[X - Mean]]/$J$4</f>
        <v>0.43847440405409399</v>
      </c>
      <c r="F20" s="6"/>
      <c r="G20">
        <v>6.5</v>
      </c>
      <c r="H20" s="7">
        <f>Table478[[#This Row],[X-values]]^2*EXP(-Table478[[#This Row],[X-values]]/7)</f>
        <v>16.693725416060989</v>
      </c>
    </row>
    <row r="21" spans="1:8" x14ac:dyDescent="0.35">
      <c r="A21" t="s">
        <v>14</v>
      </c>
      <c r="B21">
        <v>32</v>
      </c>
      <c r="C21">
        <f>Table13469[[#This Row],[Work ex]]-$H$2</f>
        <v>4.3000000000000007</v>
      </c>
      <c r="D21">
        <f>Table13469[[#This Row],[X - Mean]]^2</f>
        <v>18.490000000000006</v>
      </c>
      <c r="E21" s="6">
        <f>Table13469[[#This Row],[X - Mean]]/$J$4</f>
        <v>0.57134543558563766</v>
      </c>
      <c r="F21" s="6"/>
      <c r="G21">
        <v>7</v>
      </c>
      <c r="H21" s="7">
        <f>Table478[[#This Row],[X-values]]^2*EXP(-Table478[[#This Row],[X-values]]/7)</f>
        <v>18.026092617400675</v>
      </c>
    </row>
    <row r="22" spans="1:8" x14ac:dyDescent="0.35">
      <c r="A22" t="s">
        <v>15</v>
      </c>
      <c r="B22">
        <v>33</v>
      </c>
      <c r="C22">
        <f>Table13469[[#This Row],[Work ex]]-$H$2</f>
        <v>5.3000000000000007</v>
      </c>
      <c r="D22">
        <f>Table13469[[#This Row],[X - Mean]]^2</f>
        <v>28.090000000000007</v>
      </c>
      <c r="E22" s="6">
        <f>Table13469[[#This Row],[X - Mean]]/$J$4</f>
        <v>0.70421646711718122</v>
      </c>
      <c r="F22" s="6"/>
      <c r="G22">
        <v>7.5</v>
      </c>
      <c r="H22" s="7">
        <f>Table478[[#This Row],[X-values]]^2*EXP(-Table478[[#This Row],[X-values]]/7)</f>
        <v>19.266685598983816</v>
      </c>
    </row>
    <row r="23" spans="1:8" x14ac:dyDescent="0.35">
      <c r="A23" t="s">
        <v>16</v>
      </c>
      <c r="B23">
        <v>33</v>
      </c>
      <c r="C23">
        <f>Table13469[[#This Row],[Work ex]]-$H$2</f>
        <v>5.3000000000000007</v>
      </c>
      <c r="D23">
        <f>Table13469[[#This Row],[X - Mean]]^2</f>
        <v>28.090000000000007</v>
      </c>
      <c r="E23" s="6">
        <f>Table13469[[#This Row],[X - Mean]]/$J$4</f>
        <v>0.70421646711718122</v>
      </c>
      <c r="F23" s="6"/>
      <c r="G23">
        <v>8</v>
      </c>
      <c r="H23" s="7">
        <f>Table478[[#This Row],[X-values]]^2*EXP(-Table478[[#This Row],[X-values]]/7)</f>
        <v>20.410019668734108</v>
      </c>
    </row>
    <row r="24" spans="1:8" x14ac:dyDescent="0.35">
      <c r="A24" t="s">
        <v>17</v>
      </c>
      <c r="B24">
        <v>34</v>
      </c>
      <c r="C24">
        <f>Table13469[[#This Row],[Work ex]]-$H$2</f>
        <v>6.3000000000000007</v>
      </c>
      <c r="D24">
        <f>Table13469[[#This Row],[X - Mean]]^2</f>
        <v>39.690000000000012</v>
      </c>
      <c r="E24" s="6">
        <f>Table13469[[#This Row],[X - Mean]]/$J$4</f>
        <v>0.83708749864872478</v>
      </c>
      <c r="F24" s="6"/>
      <c r="G24">
        <v>8.5</v>
      </c>
      <c r="H24" s="7">
        <f>Table478[[#This Row],[X-values]]^2*EXP(-Table478[[#This Row],[X-values]]/7)</f>
        <v>21.452616358840501</v>
      </c>
    </row>
    <row r="25" spans="1:8" x14ac:dyDescent="0.35">
      <c r="A25" t="s">
        <v>18</v>
      </c>
      <c r="B25">
        <v>35</v>
      </c>
      <c r="C25">
        <f>Table13469[[#This Row],[Work ex]]-$H$2</f>
        <v>7.3000000000000007</v>
      </c>
      <c r="D25">
        <f>Table13469[[#This Row],[X - Mean]]^2</f>
        <v>53.290000000000013</v>
      </c>
      <c r="E25" s="6">
        <f>Table13469[[#This Row],[X - Mean]]/$J$4</f>
        <v>0.96995853018026845</v>
      </c>
      <c r="F25" s="6"/>
      <c r="G25">
        <v>9</v>
      </c>
      <c r="H25" s="7">
        <f>Table478[[#This Row],[X-values]]^2*EXP(-Table478[[#This Row],[X-values]]/7)</f>
        <v>22.392696776994711</v>
      </c>
    </row>
    <row r="26" spans="1:8" x14ac:dyDescent="0.35">
      <c r="A26" t="s">
        <v>19</v>
      </c>
      <c r="B26">
        <v>35</v>
      </c>
      <c r="C26">
        <f>Table13469[[#This Row],[Work ex]]-$H$2</f>
        <v>7.3000000000000007</v>
      </c>
      <c r="D26">
        <f>Table13469[[#This Row],[X - Mean]]^2</f>
        <v>53.290000000000013</v>
      </c>
      <c r="E26" s="6">
        <f>Table13469[[#This Row],[X - Mean]]/$J$4</f>
        <v>0.96995853018026845</v>
      </c>
      <c r="F26" s="6"/>
      <c r="G26">
        <v>9.5</v>
      </c>
      <c r="H26" s="7">
        <f>Table478[[#This Row],[X-values]]^2*EXP(-Table478[[#This Row],[X-values]]/7)</f>
        <v>23.229911570244266</v>
      </c>
    </row>
    <row r="27" spans="1:8" x14ac:dyDescent="0.35">
      <c r="G27">
        <v>10</v>
      </c>
      <c r="H27" s="7">
        <f>Table478[[#This Row],[X-values]]^2*EXP(-Table478[[#This Row],[X-values]]/7)</f>
        <v>23.965103644177578</v>
      </c>
    </row>
    <row r="28" spans="1:8" x14ac:dyDescent="0.35">
      <c r="G28">
        <v>10.5</v>
      </c>
      <c r="H28" s="7">
        <f>Table478[[#This Row],[X-values]]^2*EXP(-Table478[[#This Row],[X-values]]/7)</f>
        <v>24.600100156364388</v>
      </c>
    </row>
    <row r="29" spans="1:8" x14ac:dyDescent="0.35">
      <c r="G29">
        <v>11</v>
      </c>
      <c r="H29" s="7">
        <f>Table478[[#This Row],[X-values]]^2*EXP(-Table478[[#This Row],[X-values]]/7)</f>
        <v>25.137530644375705</v>
      </c>
    </row>
    <row r="30" spans="1:8" x14ac:dyDescent="0.35">
      <c r="G30">
        <v>11.5</v>
      </c>
      <c r="H30" s="7">
        <f>Table478[[#This Row],[X-values]]^2*EXP(-Table478[[#This Row],[X-values]]/7)</f>
        <v>25.580668458401913</v>
      </c>
    </row>
    <row r="31" spans="1:8" x14ac:dyDescent="0.35">
      <c r="G31">
        <v>12</v>
      </c>
      <c r="H31" s="7">
        <f>Table478[[#This Row],[X-values]]^2*EXP(-Table478[[#This Row],[X-values]]/7)</f>
        <v>25.933292949305148</v>
      </c>
    </row>
    <row r="32" spans="1:8" x14ac:dyDescent="0.35">
      <c r="G32">
        <v>12.5</v>
      </c>
      <c r="H32" s="7">
        <f>Table478[[#This Row],[X-values]]^2*EXP(-Table478[[#This Row],[X-values]]/7)</f>
        <v>26.199570117468291</v>
      </c>
    </row>
    <row r="33" spans="7:8" x14ac:dyDescent="0.35">
      <c r="G33">
        <v>13</v>
      </c>
      <c r="H33" s="7">
        <f>Table478[[#This Row],[X-values]]^2*EXP(-Table478[[#This Row],[X-values]]/7)</f>
        <v>26.383949658399111</v>
      </c>
    </row>
    <row r="34" spans="7:8" x14ac:dyDescent="0.35">
      <c r="G34">
        <v>13.5</v>
      </c>
      <c r="H34" s="7">
        <f>Table478[[#This Row],[X-values]]^2*EXP(-Table478[[#This Row],[X-values]]/7)</f>
        <v>26.491076549868545</v>
      </c>
    </row>
    <row r="35" spans="7:8" x14ac:dyDescent="0.35">
      <c r="G35">
        <v>14</v>
      </c>
      <c r="H35" s="7">
        <f>Table478[[#This Row],[X-values]]^2*EXP(-Table478[[#This Row],[X-values]]/7)</f>
        <v>26.525715514376088</v>
      </c>
    </row>
    <row r="36" spans="7:8" x14ac:dyDescent="0.35">
      <c r="G36">
        <v>14.5</v>
      </c>
      <c r="H36" s="7">
        <f>Table478[[#This Row],[X-values]]^2*EXP(-Table478[[#This Row],[X-values]]/7)</f>
        <v>26.492686861736061</v>
      </c>
    </row>
    <row r="37" spans="7:8" x14ac:dyDescent="0.35">
      <c r="G37">
        <v>15</v>
      </c>
      <c r="H37" s="7">
        <f>Table478[[#This Row],[X-values]]^2*EXP(-Table478[[#This Row],[X-values]]/7)</f>
        <v>26.396812371206426</v>
      </c>
    </row>
    <row r="38" spans="7:8" x14ac:dyDescent="0.35">
      <c r="G38">
        <v>15.5</v>
      </c>
      <c r="H38" s="7">
        <f>Table478[[#This Row],[X-values]]^2*EXP(-Table478[[#This Row],[X-values]]/7)</f>
        <v>26.242870012329121</v>
      </c>
    </row>
    <row r="39" spans="7:8" x14ac:dyDescent="0.35">
      <c r="G39">
        <v>16</v>
      </c>
      <c r="H39" s="7">
        <f>Table478[[#This Row],[X-values]]^2*EXP(-Table478[[#This Row],[X-values]]/7)</f>
        <v>26.035556429882071</v>
      </c>
    </row>
    <row r="40" spans="7:8" x14ac:dyDescent="0.35">
      <c r="G40">
        <v>16.5</v>
      </c>
      <c r="H40" s="7">
        <f>Table478[[#This Row],[X-values]]^2*EXP(-Table478[[#This Row],[X-values]]/7)</f>
        <v>25.779456232298262</v>
      </c>
    </row>
    <row r="41" spans="7:8" x14ac:dyDescent="0.35">
      <c r="G41">
        <v>17</v>
      </c>
      <c r="H41" s="7">
        <f>Table478[[#This Row],[X-values]]^2*EXP(-Table478[[#This Row],[X-values]]/7)</f>
        <v>25.479017225721304</v>
      </c>
    </row>
    <row r="42" spans="7:8" x14ac:dyDescent="0.35">
      <c r="G42">
        <v>17.5</v>
      </c>
      <c r="H42" s="7">
        <f>Table478[[#This Row],[X-values]]^2*EXP(-Table478[[#This Row],[X-values]]/7)</f>
        <v>25.138530828569007</v>
      </c>
    </row>
    <row r="43" spans="7:8" x14ac:dyDescent="0.35">
      <c r="G43">
        <v>18</v>
      </c>
      <c r="H43" s="7">
        <f>Table478[[#This Row],[X-values]]^2*EXP(-Table478[[#This Row],[X-values]]/7)</f>
        <v>24.762116985008856</v>
      </c>
    </row>
    <row r="44" spans="7:8" x14ac:dyDescent="0.35">
      <c r="G44">
        <v>18.5</v>
      </c>
      <c r="H44" s="7">
        <f>Table478[[#This Row],[X-values]]^2*EXP(-Table478[[#This Row],[X-values]]/7)</f>
        <v>24.353712970966047</v>
      </c>
    </row>
    <row r="45" spans="7:8" x14ac:dyDescent="0.35">
      <c r="G45">
        <v>19</v>
      </c>
      <c r="H45" s="7">
        <f>Table478[[#This Row],[X-values]]^2*EXP(-Table478[[#This Row],[X-values]]/7)</f>
        <v>23.917065553966463</v>
      </c>
    </row>
    <row r="46" spans="7:8" x14ac:dyDescent="0.35">
      <c r="G46">
        <v>19.5</v>
      </c>
      <c r="H46" s="7">
        <f>Table478[[#This Row],[X-values]]^2*EXP(-Table478[[#This Row],[X-values]]/7)</f>
        <v>23.45572602897289</v>
      </c>
    </row>
    <row r="47" spans="7:8" x14ac:dyDescent="0.35">
      <c r="G47">
        <v>20</v>
      </c>
      <c r="H47" s="7">
        <f>Table478[[#This Row],[X-values]]^2*EXP(-Table478[[#This Row],[X-values]]/7)</f>
        <v>22.973047707046941</v>
      </c>
    </row>
    <row r="48" spans="7:8" x14ac:dyDescent="0.35">
      <c r="G48">
        <v>20.5</v>
      </c>
      <c r="H48" s="7">
        <f>Table478[[#This Row],[X-values]]^2*EXP(-Table478[[#This Row],[X-values]]/7)</f>
        <v>22.472185482751314</v>
      </c>
    </row>
    <row r="49" spans="7:8" x14ac:dyDescent="0.35">
      <c r="G49">
        <v>21</v>
      </c>
      <c r="H49" s="7">
        <f>Table478[[#This Row],[X-values]]^2*EXP(-Table478[[#This Row],[X-values]]/7)</f>
        <v>21.956097150228</v>
      </c>
    </row>
    <row r="50" spans="7:8" x14ac:dyDescent="0.35">
      <c r="G50">
        <v>21.5</v>
      </c>
      <c r="H50" s="7">
        <f>Table478[[#This Row],[X-values]]^2*EXP(-Table478[[#This Row],[X-values]]/7)</f>
        <v>21.427546177335675</v>
      </c>
    </row>
    <row r="51" spans="7:8" x14ac:dyDescent="0.35">
      <c r="G51">
        <v>22</v>
      </c>
      <c r="H51" s="7">
        <f>Table478[[#This Row],[X-values]]^2*EXP(-Table478[[#This Row],[X-values]]/7)</f>
        <v>20.889105682543061</v>
      </c>
    </row>
    <row r="52" spans="7:8" x14ac:dyDescent="0.35">
      <c r="G52">
        <v>22.5</v>
      </c>
      <c r="H52" s="7">
        <f>Table478[[#This Row],[X-values]]^2*EXP(-Table478[[#This Row],[X-values]]/7)</f>
        <v>20.343163390856024</v>
      </c>
    </row>
    <row r="53" spans="7:8" x14ac:dyDescent="0.35">
      <c r="G53">
        <v>23</v>
      </c>
      <c r="H53" s="7">
        <f>Table478[[#This Row],[X-values]]^2*EXP(-Table478[[#This Row],[X-values]]/7)</f>
        <v>19.791927373268159</v>
      </c>
    </row>
    <row r="54" spans="7:8" x14ac:dyDescent="0.35">
      <c r="G54">
        <v>23.5</v>
      </c>
      <c r="H54" s="7">
        <f>Table478[[#This Row],[X-values]]^2*EXP(-Table478[[#This Row],[X-values]]/7)</f>
        <v>19.237432399397026</v>
      </c>
    </row>
    <row r="55" spans="7:8" x14ac:dyDescent="0.35">
      <c r="G55">
        <v>24</v>
      </c>
      <c r="H55" s="7">
        <f>Table478[[#This Row],[X-values]]^2*EXP(-Table478[[#This Row],[X-values]]/7)</f>
        <v>18.681546755402223</v>
      </c>
    </row>
    <row r="56" spans="7:8" x14ac:dyDescent="0.35">
      <c r="G56">
        <v>24.5</v>
      </c>
      <c r="H56" s="7">
        <f>Table478[[#This Row],[X-values]]^2*EXP(-Table478[[#This Row],[X-values]]/7)</f>
        <v>18.125979399246681</v>
      </c>
    </row>
    <row r="57" spans="7:8" x14ac:dyDescent="0.35">
      <c r="G57">
        <v>25</v>
      </c>
      <c r="H57" s="7">
        <f>Table478[[#This Row],[X-values]]^2*EXP(-Table478[[#This Row],[X-values]]/7)</f>
        <v>17.572287343107522</v>
      </c>
    </row>
    <row r="58" spans="7:8" x14ac:dyDescent="0.35">
      <c r="G58">
        <v>25.5</v>
      </c>
      <c r="H58" s="7">
        <f>Table478[[#This Row],[X-values]]^2*EXP(-Table478[[#This Row],[X-values]]/7)</f>
        <v>17.021883168488543</v>
      </c>
    </row>
    <row r="59" spans="7:8" x14ac:dyDescent="0.35">
      <c r="G59">
        <v>26</v>
      </c>
      <c r="H59" s="7">
        <f>Table478[[#This Row],[X-values]]^2*EXP(-Table478[[#This Row],[X-values]]/7)</f>
        <v>16.476042593537009</v>
      </c>
    </row>
    <row r="60" spans="7:8" x14ac:dyDescent="0.35">
      <c r="G60">
        <v>26.5</v>
      </c>
      <c r="H60" s="7">
        <f>Table478[[#This Row],[X-values]]^2*EXP(-Table478[[#This Row],[X-values]]/7)</f>
        <v>15.935912024404658</v>
      </c>
    </row>
    <row r="61" spans="7:8" x14ac:dyDescent="0.35">
      <c r="G61">
        <v>27</v>
      </c>
      <c r="H61" s="7">
        <f>Table478[[#This Row],[X-values]]^2*EXP(-Table478[[#This Row],[X-values]]/7)</f>
        <v>15.402516033382611</v>
      </c>
    </row>
    <row r="62" spans="7:8" x14ac:dyDescent="0.35">
      <c r="G62">
        <v>27.5</v>
      </c>
      <c r="H62" s="7">
        <f>Table478[[#This Row],[X-values]]^2*EXP(-Table478[[#This Row],[X-values]]/7)</f>
        <v>14.876764716132687</v>
      </c>
    </row>
    <row r="63" spans="7:8" x14ac:dyDescent="0.35">
      <c r="G63">
        <v>28</v>
      </c>
      <c r="H63" s="7">
        <f>Table478[[#This Row],[X-values]]^2*EXP(-Table478[[#This Row],[X-values]]/7)</f>
        <v>14.359460888767597</v>
      </c>
    </row>
    <row r="64" spans="7:8" x14ac:dyDescent="0.35">
      <c r="G64">
        <v>28.5</v>
      </c>
      <c r="H64" s="7">
        <f>Table478[[#This Row],[X-values]]^2*EXP(-Table478[[#This Row],[X-values]]/7)</f>
        <v>13.851307092923509</v>
      </c>
    </row>
    <row r="65" spans="7:8" x14ac:dyDescent="0.35">
      <c r="G65">
        <v>29</v>
      </c>
      <c r="H65" s="7">
        <f>Table478[[#This Row],[X-values]]^2*EXP(-Table478[[#This Row],[X-values]]/7)</f>
        <v>13.352912383429301</v>
      </c>
    </row>
    <row r="66" spans="7:8" x14ac:dyDescent="0.35">
      <c r="G66">
        <v>29.5</v>
      </c>
      <c r="H66" s="7">
        <f>Table478[[#This Row],[X-values]]^2*EXP(-Table478[[#This Row],[X-values]]/7)</f>
        <v>12.864798878809006</v>
      </c>
    </row>
    <row r="67" spans="7:8" x14ac:dyDescent="0.35">
      <c r="G67">
        <v>30</v>
      </c>
      <c r="H67" s="7">
        <f>Table478[[#This Row],[X-values]]^2*EXP(-Table478[[#This Row],[X-values]]/7)</f>
        <v>12.387408059745361</v>
      </c>
    </row>
    <row r="68" spans="7:8" x14ac:dyDescent="0.35">
      <c r="G68">
        <v>30.5</v>
      </c>
      <c r="H68" s="7">
        <f>Table478[[#This Row],[X-values]]^2*EXP(-Table478[[#This Row],[X-values]]/7)</f>
        <v>11.921106804866085</v>
      </c>
    </row>
    <row r="69" spans="7:8" x14ac:dyDescent="0.35">
      <c r="G69">
        <v>31</v>
      </c>
      <c r="H69" s="7">
        <f>Table478[[#This Row],[X-values]]^2*EXP(-Table478[[#This Row],[X-values]]/7)</f>
        <v>11.466193156861653</v>
      </c>
    </row>
    <row r="70" spans="7:8" x14ac:dyDescent="0.35">
      <c r="G70">
        <v>31.5</v>
      </c>
      <c r="H70" s="7">
        <f>Table478[[#This Row],[X-values]]^2*EXP(-Table478[[#This Row],[X-values]]/7)</f>
        <v>11.022901815070929</v>
      </c>
    </row>
    <row r="71" spans="7:8" x14ac:dyDescent="0.35">
      <c r="G71">
        <v>32</v>
      </c>
      <c r="H71" s="7">
        <f>Table478[[#This Row],[X-values]]^2*EXP(-Table478[[#This Row],[X-values]]/7)</f>
        <v>10.591409353337088</v>
      </c>
    </row>
    <row r="72" spans="7:8" x14ac:dyDescent="0.35">
      <c r="G72">
        <v>32.5</v>
      </c>
      <c r="H72" s="7">
        <f>Table478[[#This Row],[X-values]]^2*EXP(-Table478[[#This Row],[X-values]]/7)</f>
        <v>10.171839164194974</v>
      </c>
    </row>
    <row r="73" spans="7:8" x14ac:dyDescent="0.35">
      <c r="G73">
        <v>33</v>
      </c>
      <c r="H73" s="7">
        <f>Table478[[#This Row],[X-values]]^2*EXP(-Table478[[#This Row],[X-values]]/7)</f>
        <v>9.7642661323486735</v>
      </c>
    </row>
    <row r="74" spans="7:8" x14ac:dyDescent="0.35">
      <c r="G74">
        <v>33.5</v>
      </c>
      <c r="H74" s="7">
        <f>Table478[[#This Row],[X-values]]^2*EXP(-Table478[[#This Row],[X-values]]/7)</f>
        <v>9.3687210419784961</v>
      </c>
    </row>
    <row r="75" spans="7:8" x14ac:dyDescent="0.35">
      <c r="G75">
        <v>34</v>
      </c>
      <c r="H75" s="7">
        <f>Table478[[#This Row],[X-values]]^2*EXP(-Table478[[#This Row],[X-values]]/7)</f>
        <v>8.9851947237176883</v>
      </c>
    </row>
    <row r="76" spans="7:8" x14ac:dyDescent="0.35">
      <c r="G76">
        <v>34.5</v>
      </c>
      <c r="H76" s="7">
        <f>Table478[[#This Row],[X-values]]^2*EXP(-Table478[[#This Row],[X-values]]/7)</f>
        <v>8.6136419481948554</v>
      </c>
    </row>
    <row r="77" spans="7:8" x14ac:dyDescent="0.35">
      <c r="G77">
        <v>35</v>
      </c>
      <c r="H77" s="7">
        <f>Table478[[#This Row],[X-values]]^2*EXP(-Table478[[#This Row],[X-values]]/7)</f>
        <v>8.2539850738796972</v>
      </c>
    </row>
    <row r="78" spans="7:8" x14ac:dyDescent="0.35">
      <c r="G78">
        <v>35.5</v>
      </c>
      <c r="H78" s="7">
        <f>Table478[[#This Row],[X-values]]^2*EXP(-Table478[[#This Row],[X-values]]/7)</f>
        <v>7.9061174576239042</v>
      </c>
    </row>
    <row r="79" spans="7:8" x14ac:dyDescent="0.35">
      <c r="G79">
        <v>36</v>
      </c>
      <c r="H79" s="7">
        <f>Table478[[#This Row],[X-values]]^2*EXP(-Table478[[#This Row],[X-values]]/7)</f>
        <v>7.569906636781039</v>
      </c>
    </row>
    <row r="80" spans="7:8" x14ac:dyDescent="0.35">
      <c r="G80">
        <v>36.5</v>
      </c>
      <c r="H80" s="7">
        <f>Table478[[#This Row],[X-values]]^2*EXP(-Table478[[#This Row],[X-values]]/7)</f>
        <v>7.2451972921399914</v>
      </c>
    </row>
    <row r="81" spans="7:8" x14ac:dyDescent="0.35">
      <c r="G81">
        <v>37</v>
      </c>
      <c r="H81" s="7">
        <f>Table478[[#This Row],[X-values]]^2*EXP(-Table478[[#This Row],[X-values]]/7)</f>
        <v>6.9318140011360079</v>
      </c>
    </row>
    <row r="82" spans="7:8" x14ac:dyDescent="0.35">
      <c r="G82">
        <v>37.5</v>
      </c>
      <c r="H82" s="7">
        <f>Table478[[#This Row],[X-values]]^2*EXP(-Table478[[#This Row],[X-values]]/7)</f>
        <v>6.6295637909286684</v>
      </c>
    </row>
    <row r="83" spans="7:8" x14ac:dyDescent="0.35">
      <c r="G83">
        <v>38</v>
      </c>
      <c r="H83" s="7">
        <f>Table478[[#This Row],[X-values]]^2*EXP(-Table478[[#This Row],[X-values]]/7)</f>
        <v>6.338238500972067</v>
      </c>
    </row>
    <row r="84" spans="7:8" x14ac:dyDescent="0.35">
      <c r="G84">
        <v>38.5</v>
      </c>
      <c r="H84" s="7">
        <f>Table478[[#This Row],[X-values]]^2*EXP(-Table478[[#This Row],[X-values]]/7)</f>
        <v>6.0576169646633629</v>
      </c>
    </row>
    <row r="85" spans="7:8" x14ac:dyDescent="0.35">
      <c r="G85">
        <v>39</v>
      </c>
      <c r="H85" s="7">
        <f>Table478[[#This Row],[X-values]]^2*EXP(-Table478[[#This Row],[X-values]]/7)</f>
        <v>5.7874670195527829</v>
      </c>
    </row>
    <row r="86" spans="7:8" x14ac:dyDescent="0.35">
      <c r="G86">
        <v>39.5</v>
      </c>
      <c r="H86" s="7">
        <f>Table478[[#This Row],[X-values]]^2*EXP(-Table478[[#This Row],[X-values]]/7)</f>
        <v>5.5275473554425556</v>
      </c>
    </row>
    <row r="87" spans="7:8" x14ac:dyDescent="0.35">
      <c r="G87">
        <v>40</v>
      </c>
      <c r="H87" s="7">
        <f>Table478[[#This Row],[X-values]]^2*EXP(-Table478[[#This Row],[X-values]]/7)</f>
        <v>5.277609209502546</v>
      </c>
    </row>
    <row r="88" spans="7:8" x14ac:dyDescent="0.35">
      <c r="G88">
        <v>40.5</v>
      </c>
      <c r="H88" s="7">
        <f>Table478[[#This Row],[X-values]]^2*EXP(-Table478[[#This Row],[X-values]]/7)</f>
        <v>5.037397917295265</v>
      </c>
    </row>
    <row r="89" spans="7:8" x14ac:dyDescent="0.35">
      <c r="G89">
        <v>41</v>
      </c>
      <c r="H89" s="7">
        <f>Table478[[#This Row],[X-values]]^2*EXP(-Table478[[#This Row],[X-values]]/7)</f>
        <v>4.8066543283395973</v>
      </c>
    </row>
    <row r="90" spans="7:8" x14ac:dyDescent="0.35">
      <c r="G90">
        <v>41.5</v>
      </c>
      <c r="H90" s="7">
        <f>Table478[[#This Row],[X-values]]^2*EXP(-Table478[[#This Row],[X-values]]/7)</f>
        <v>4.5851160945567226</v>
      </c>
    </row>
    <row r="91" spans="7:8" x14ac:dyDescent="0.35">
      <c r="G91">
        <v>42</v>
      </c>
      <c r="H91" s="7">
        <f>Table478[[#This Row],[X-values]]^2*EXP(-Table478[[#This Row],[X-values]]/7)</f>
        <v>4.3725188396394561</v>
      </c>
    </row>
    <row r="92" spans="7:8" x14ac:dyDescent="0.35">
      <c r="G92">
        <v>42.5</v>
      </c>
      <c r="H92" s="7">
        <f>Table478[[#This Row],[X-values]]^2*EXP(-Table478[[#This Row],[X-values]]/7)</f>
        <v>4.1685972170716559</v>
      </c>
    </row>
    <row r="93" spans="7:8" x14ac:dyDescent="0.35">
      <c r="G93">
        <v>43</v>
      </c>
      <c r="H93" s="7">
        <f>Table478[[#This Row],[X-values]]^2*EXP(-Table478[[#This Row],[X-values]]/7)</f>
        <v>3.9730858642020777</v>
      </c>
    </row>
    <row r="94" spans="7:8" x14ac:dyDescent="0.35">
      <c r="G94">
        <v>43.5</v>
      </c>
      <c r="H94" s="7">
        <f>Table478[[#This Row],[X-values]]^2*EXP(-Table478[[#This Row],[X-values]]/7)</f>
        <v>3.7857202594500747</v>
      </c>
    </row>
    <row r="95" spans="7:8" x14ac:dyDescent="0.35">
      <c r="G95">
        <v>44</v>
      </c>
      <c r="H95" s="7">
        <f>Table478[[#This Row],[X-values]]^2*EXP(-Table478[[#This Row],[X-values]]/7)</f>
        <v>3.6062374893921714</v>
      </c>
    </row>
    <row r="96" spans="7:8" x14ac:dyDescent="0.35">
      <c r="G96">
        <v>44.5</v>
      </c>
      <c r="H96" s="7">
        <f>Table478[[#This Row],[X-values]]^2*EXP(-Table478[[#This Row],[X-values]]/7)</f>
        <v>3.4343769321513551</v>
      </c>
    </row>
    <row r="97" spans="7:8" x14ac:dyDescent="0.35">
      <c r="G97">
        <v>45</v>
      </c>
      <c r="H97" s="7">
        <f>Table478[[#This Row],[X-values]]^2*EXP(-Table478[[#This Row],[X-values]]/7)</f>
        <v>3.269880863186684</v>
      </c>
    </row>
    <row r="98" spans="7:8" x14ac:dyDescent="0.35">
      <c r="G98">
        <v>45.5</v>
      </c>
      <c r="H98" s="7">
        <f>Table478[[#This Row],[X-values]]^2*EXP(-Table478[[#This Row],[X-values]]/7)</f>
        <v>3.112494989261819</v>
      </c>
    </row>
    <row r="99" spans="7:8" x14ac:dyDescent="0.35">
      <c r="G99">
        <v>46</v>
      </c>
      <c r="H99" s="7">
        <f>Table478[[#This Row],[X-values]]^2*EXP(-Table478[[#This Row],[X-values]]/7)</f>
        <v>2.9619689160583853</v>
      </c>
    </row>
    <row r="100" spans="7:8" x14ac:dyDescent="0.35">
      <c r="G100">
        <v>46.5</v>
      </c>
      <c r="H100" s="7">
        <f>Table478[[#This Row],[X-values]]^2*EXP(-Table478[[#This Row],[X-values]]/7)</f>
        <v>2.8180565545952154</v>
      </c>
    </row>
    <row r="101" spans="7:8" x14ac:dyDescent="0.35">
      <c r="G101">
        <v>47</v>
      </c>
      <c r="H101" s="7">
        <f>Table478[[#This Row],[X-values]]^2*EXP(-Table478[[#This Row],[X-values]]/7)</f>
        <v>2.6805164713182101</v>
      </c>
    </row>
    <row r="102" spans="7:8" x14ac:dyDescent="0.35">
      <c r="G102">
        <v>47.5</v>
      </c>
      <c r="H102" s="7">
        <f>Table478[[#This Row],[X-values]]^2*EXP(-Table478[[#This Row],[X-values]]/7)</f>
        <v>2.5491121864386899</v>
      </c>
    </row>
    <row r="103" spans="7:8" x14ac:dyDescent="0.35">
      <c r="G103">
        <v>48</v>
      </c>
      <c r="H103" s="7">
        <f>Table478[[#This Row],[X-values]]^2*EXP(-Table478[[#This Row],[X-values]]/7)</f>
        <v>2.4236124248213837</v>
      </c>
    </row>
    <row r="104" spans="7:8" x14ac:dyDescent="0.35">
      <c r="G104">
        <v>48.5</v>
      </c>
      <c r="H104" s="7">
        <f>Table478[[#This Row],[X-values]]^2*EXP(-Table478[[#This Row],[X-values]]/7)</f>
        <v>2.3037913234567058</v>
      </c>
    </row>
    <row r="105" spans="7:8" x14ac:dyDescent="0.35">
      <c r="G105">
        <v>49</v>
      </c>
      <c r="H105" s="7">
        <f>Table478[[#This Row],[X-values]]^2*EXP(-Table478[[#This Row],[X-values]]/7)</f>
        <v>2.1894285992963933</v>
      </c>
    </row>
    <row r="106" spans="7:8" x14ac:dyDescent="0.35">
      <c r="G106">
        <v>49.5</v>
      </c>
      <c r="H106" s="7">
        <f>Table478[[#This Row],[X-values]]^2*EXP(-Table478[[#This Row],[X-values]]/7)</f>
        <v>2.0803096809867347</v>
      </c>
    </row>
    <row r="107" spans="7:8" x14ac:dyDescent="0.35">
      <c r="G107">
        <v>50</v>
      </c>
      <c r="H107" s="7">
        <f>Table478[[#This Row],[X-values]]^2*EXP(-Table478[[#This Row],[X-values]]/7)</f>
        <v>1.9762258077999153</v>
      </c>
    </row>
    <row r="108" spans="7:8" x14ac:dyDescent="0.35">
      <c r="G108">
        <v>50.5</v>
      </c>
      <c r="H108" s="7">
        <f>Table478[[#This Row],[X-values]]^2*EXP(-Table478[[#This Row],[X-values]]/7)</f>
        <v>1.8769740988410712</v>
      </c>
    </row>
    <row r="109" spans="7:8" x14ac:dyDescent="0.35">
      <c r="G109">
        <v>51</v>
      </c>
      <c r="H109" s="7">
        <f>Table478[[#This Row],[X-values]]^2*EXP(-Table478[[#This Row],[X-values]]/7)</f>
        <v>1.7823575953966846</v>
      </c>
    </row>
    <row r="110" spans="7:8" x14ac:dyDescent="0.35">
      <c r="G110">
        <v>51.5</v>
      </c>
      <c r="H110" s="7">
        <f>Table478[[#This Row],[X-values]]^2*EXP(-Table478[[#This Row],[X-values]]/7)</f>
        <v>1.6921852790887058</v>
      </c>
    </row>
    <row r="111" spans="7:8" x14ac:dyDescent="0.35">
      <c r="G111">
        <v>52</v>
      </c>
      <c r="H111" s="7">
        <f>Table478[[#This Row],[X-values]]^2*EXP(-Table478[[#This Row],[X-values]]/7)</f>
        <v>1.6062720683079628</v>
      </c>
    </row>
    <row r="112" spans="7:8" x14ac:dyDescent="0.35">
      <c r="G112">
        <v>52.5</v>
      </c>
      <c r="H112" s="7">
        <f>Table478[[#This Row],[X-values]]^2*EXP(-Table478[[#This Row],[X-values]]/7)</f>
        <v>1.5244387952199665</v>
      </c>
    </row>
    <row r="113" spans="7:8" x14ac:dyDescent="0.35">
      <c r="G113">
        <v>53</v>
      </c>
      <c r="H113" s="7">
        <f>Table478[[#This Row],[X-values]]^2*EXP(-Table478[[#This Row],[X-values]]/7)</f>
        <v>1.4465121654656601</v>
      </c>
    </row>
    <row r="114" spans="7:8" x14ac:dyDescent="0.35">
      <c r="G114">
        <v>53.5</v>
      </c>
      <c r="H114" s="7">
        <f>Table478[[#This Row],[X-values]]^2*EXP(-Table478[[#This Row],[X-values]]/7)</f>
        <v>1.372324702518892</v>
      </c>
    </row>
    <row r="115" spans="7:8" x14ac:dyDescent="0.35">
      <c r="G115">
        <v>54</v>
      </c>
      <c r="H115" s="7">
        <f>Table478[[#This Row],[X-values]]^2*EXP(-Table478[[#This Row],[X-values]]/7)</f>
        <v>1.3017146785108828</v>
      </c>
    </row>
    <row r="116" spans="7:8" x14ac:dyDescent="0.35">
      <c r="G116">
        <v>54.5</v>
      </c>
      <c r="H116" s="7">
        <f>Table478[[#This Row],[X-values]]^2*EXP(-Table478[[#This Row],[X-values]]/7)</f>
        <v>1.2345260331895325</v>
      </c>
    </row>
    <row r="117" spans="7:8" x14ac:dyDescent="0.35">
      <c r="G117">
        <v>55</v>
      </c>
      <c r="H117" s="7">
        <f>Table478[[#This Row],[X-values]]^2*EXP(-Table478[[#This Row],[X-values]]/7)</f>
        <v>1.1706082825476785</v>
      </c>
    </row>
    <row r="118" spans="7:8" x14ac:dyDescent="0.35">
      <c r="G118">
        <v>55.5</v>
      </c>
      <c r="H118" s="7">
        <f>Table478[[#This Row],[X-values]]^2*EXP(-Table478[[#This Row],[X-values]]/7)</f>
        <v>1.1098164185289334</v>
      </c>
    </row>
    <row r="119" spans="7:8" x14ac:dyDescent="0.35">
      <c r="G119">
        <v>56</v>
      </c>
      <c r="H119" s="7">
        <f>Table478[[#This Row],[X-values]]^2*EXP(-Table478[[#This Row],[X-values]]/7)</f>
        <v>1.0520108011022771</v>
      </c>
    </row>
  </sheetData>
  <pageMargins left="0.7" right="0.7" top="0.75" bottom="0.75" header="0.3" footer="0.3"/>
  <pageSetup orientation="portrait" horizontalDpi="1200" verticalDpi="1200" r:id="rId1"/>
  <drawing r:id="rId2"/>
  <tableParts count="2">
    <tablePart r:id="rId3"/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024F8-AE0B-478B-B559-A08642C2D8B8}">
  <dimension ref="A1:J119"/>
  <sheetViews>
    <sheetView showGridLines="0" tabSelected="1" topLeftCell="F1" zoomScale="80" zoomScaleNormal="80" workbookViewId="0">
      <selection activeCell="Y3" sqref="Y3"/>
    </sheetView>
  </sheetViews>
  <sheetFormatPr defaultRowHeight="14.5" outlineLevelCol="1" x14ac:dyDescent="0.35"/>
  <cols>
    <col min="1" max="1" width="12" hidden="1" customWidth="1" outlineLevel="1"/>
    <col min="2" max="2" width="11.7265625" hidden="1" customWidth="1" outlineLevel="1"/>
    <col min="3" max="3" width="16.1796875" hidden="1" customWidth="1" outlineLevel="1"/>
    <col min="4" max="4" width="15.1796875" hidden="1" customWidth="1" outlineLevel="1"/>
    <col min="5" max="5" width="13.1796875" hidden="1" customWidth="1" outlineLevel="1"/>
    <col min="6" max="6" width="13.1796875" customWidth="1" collapsed="1"/>
    <col min="7" max="7" width="9.7265625" customWidth="1"/>
    <col min="8" max="8" width="10.1796875" customWidth="1"/>
    <col min="9" max="9" width="14.7265625" customWidth="1"/>
  </cols>
  <sheetData>
    <row r="1" spans="1:10" ht="15" thickBot="1" x14ac:dyDescent="0.4"/>
    <row r="2" spans="1:10" ht="17" thickBot="1" x14ac:dyDescent="0.4">
      <c r="G2" s="3" t="s">
        <v>20</v>
      </c>
      <c r="H2" s="2">
        <f>AVERAGE(Table1346911[Work ex])</f>
        <v>27.7</v>
      </c>
      <c r="I2" s="4" t="s">
        <v>27</v>
      </c>
      <c r="J2" s="2">
        <f>SUM(Table1346911[Sq (X - Mean)])</f>
        <v>1076.2</v>
      </c>
    </row>
    <row r="3" spans="1:10" ht="15" thickBot="1" x14ac:dyDescent="0.4">
      <c r="G3" s="3" t="s">
        <v>23</v>
      </c>
      <c r="H3" s="2">
        <f>MEDIAN(Table1346911[Work ex])</f>
        <v>28</v>
      </c>
      <c r="I3" s="4" t="s">
        <v>28</v>
      </c>
      <c r="J3" s="2">
        <f>COUNT(Table1346911[Work ex])-1</f>
        <v>19</v>
      </c>
    </row>
    <row r="4" spans="1:10" ht="17" thickBot="1" x14ac:dyDescent="0.5">
      <c r="G4" s="3" t="s">
        <v>24</v>
      </c>
      <c r="H4" s="2">
        <f>MAX(Table1346911[Work ex])-MIN(Table1346911[Work ex])</f>
        <v>35</v>
      </c>
      <c r="I4" s="4" t="s">
        <v>29</v>
      </c>
      <c r="J4" s="5">
        <f>SQRT(J2/J3)</f>
        <v>7.5260949544340656</v>
      </c>
    </row>
    <row r="6" spans="1:10" x14ac:dyDescent="0.35">
      <c r="A6" t="s">
        <v>21</v>
      </c>
      <c r="B6" t="s">
        <v>22</v>
      </c>
      <c r="C6" t="s">
        <v>26</v>
      </c>
      <c r="D6" t="s">
        <v>25</v>
      </c>
      <c r="E6" t="s">
        <v>30</v>
      </c>
      <c r="G6" t="s">
        <v>31</v>
      </c>
      <c r="H6" t="s">
        <v>32</v>
      </c>
    </row>
    <row r="7" spans="1:10" x14ac:dyDescent="0.35">
      <c r="A7" t="s">
        <v>0</v>
      </c>
      <c r="B7">
        <v>0</v>
      </c>
      <c r="C7">
        <f>Table1346911[[#This Row],[Work ex]]-$H$2</f>
        <v>-27.7</v>
      </c>
      <c r="D7">
        <f>Table1346911[[#This Row],[X - Mean]]^2</f>
        <v>767.29</v>
      </c>
      <c r="E7" s="6">
        <f>Table1346911[[#This Row],[X - Mean]]/$J$4</f>
        <v>-3.6805275734237579</v>
      </c>
      <c r="F7" s="6"/>
      <c r="G7">
        <v>0</v>
      </c>
      <c r="H7" s="7">
        <f>((MAX(Table47810[X-values])-Table47810[[#This Row],[X-values]])^2)*EXP(-(MAX(Table47810[X-values])-Table47810[[#This Row],[X-values]])/7)</f>
        <v>1.0520108011022771</v>
      </c>
    </row>
    <row r="8" spans="1:10" x14ac:dyDescent="0.35">
      <c r="A8" t="s">
        <v>1</v>
      </c>
      <c r="B8">
        <v>21</v>
      </c>
      <c r="C8">
        <f>Table1346911[[#This Row],[Work ex]]-$H$2</f>
        <v>-6.6999999999999993</v>
      </c>
      <c r="D8">
        <f>Table1346911[[#This Row],[X - Mean]]^2</f>
        <v>44.889999999999993</v>
      </c>
      <c r="E8" s="6">
        <f>Table1346911[[#This Row],[X - Mean]]/$J$4</f>
        <v>-0.89023591126134205</v>
      </c>
      <c r="F8" s="6"/>
      <c r="G8">
        <v>0.5</v>
      </c>
      <c r="H8" s="7">
        <f>((MAX(Table47810[X-values])-Table47810[[#This Row],[X-values]])^2)*EXP(-(MAX(Table47810[X-values])-Table47810[[#This Row],[X-values]])/7)</f>
        <v>1.1098164185289334</v>
      </c>
    </row>
    <row r="9" spans="1:10" x14ac:dyDescent="0.35">
      <c r="A9" t="s">
        <v>2</v>
      </c>
      <c r="B9">
        <v>24</v>
      </c>
      <c r="C9">
        <f>Table1346911[[#This Row],[Work ex]]-$H$2</f>
        <v>-3.6999999999999993</v>
      </c>
      <c r="D9">
        <f>Table1346911[[#This Row],[X - Mean]]^2</f>
        <v>13.689999999999994</v>
      </c>
      <c r="E9" s="6">
        <f>Table1346911[[#This Row],[X - Mean]]/$J$4</f>
        <v>-0.49162281666671126</v>
      </c>
      <c r="F9" s="6"/>
      <c r="G9">
        <v>1</v>
      </c>
      <c r="H9" s="7">
        <f>((MAX(Table47810[X-values])-Table47810[[#This Row],[X-values]])^2)*EXP(-(MAX(Table47810[X-values])-Table47810[[#This Row],[X-values]])/7)</f>
        <v>1.1706082825476785</v>
      </c>
    </row>
    <row r="10" spans="1:10" x14ac:dyDescent="0.35">
      <c r="A10" t="s">
        <v>3</v>
      </c>
      <c r="B10">
        <v>25</v>
      </c>
      <c r="C10">
        <f>Table1346911[[#This Row],[Work ex]]-$H$2</f>
        <v>-2.6999999999999993</v>
      </c>
      <c r="D10">
        <f>Table1346911[[#This Row],[X - Mean]]^2</f>
        <v>7.2899999999999965</v>
      </c>
      <c r="E10" s="6">
        <f>Table1346911[[#This Row],[X - Mean]]/$J$4</f>
        <v>-0.35875178513516764</v>
      </c>
      <c r="F10" s="6"/>
      <c r="G10">
        <v>1.5</v>
      </c>
      <c r="H10" s="7">
        <f>((MAX(Table47810[X-values])-Table47810[[#This Row],[X-values]])^2)*EXP(-(MAX(Table47810[X-values])-Table47810[[#This Row],[X-values]])/7)</f>
        <v>1.2345260331895325</v>
      </c>
    </row>
    <row r="11" spans="1:10" x14ac:dyDescent="0.35">
      <c r="A11" t="s">
        <v>4</v>
      </c>
      <c r="B11">
        <v>26</v>
      </c>
      <c r="C11">
        <f>Table1346911[[#This Row],[Work ex]]-$H$2</f>
        <v>-1.6999999999999993</v>
      </c>
      <c r="D11">
        <f>Table1346911[[#This Row],[X - Mean]]^2</f>
        <v>2.8899999999999975</v>
      </c>
      <c r="E11" s="6">
        <f>Table1346911[[#This Row],[X - Mean]]/$J$4</f>
        <v>-0.22588075360362403</v>
      </c>
      <c r="F11" s="6"/>
      <c r="G11">
        <v>2</v>
      </c>
      <c r="H11" s="7">
        <f>((MAX(Table47810[X-values])-Table47810[[#This Row],[X-values]])^2)*EXP(-(MAX(Table47810[X-values])-Table47810[[#This Row],[X-values]])/7)</f>
        <v>1.3017146785108828</v>
      </c>
    </row>
    <row r="12" spans="1:10" x14ac:dyDescent="0.35">
      <c r="A12" t="s">
        <v>5</v>
      </c>
      <c r="B12">
        <v>27</v>
      </c>
      <c r="C12">
        <f>Table1346911[[#This Row],[Work ex]]-$H$2</f>
        <v>-0.69999999999999929</v>
      </c>
      <c r="D12">
        <f>Table1346911[[#This Row],[X - Mean]]^2</f>
        <v>0.48999999999999899</v>
      </c>
      <c r="E12" s="6">
        <f>Table1346911[[#This Row],[X - Mean]]/$J$4</f>
        <v>-9.3009722072080428E-2</v>
      </c>
      <c r="F12" s="6"/>
      <c r="G12">
        <v>2.5</v>
      </c>
      <c r="H12" s="7">
        <f>((MAX(Table47810[X-values])-Table47810[[#This Row],[X-values]])^2)*EXP(-(MAX(Table47810[X-values])-Table47810[[#This Row],[X-values]])/7)</f>
        <v>1.372324702518892</v>
      </c>
    </row>
    <row r="13" spans="1:10" x14ac:dyDescent="0.35">
      <c r="A13" t="s">
        <v>6</v>
      </c>
      <c r="B13">
        <v>27</v>
      </c>
      <c r="C13">
        <f>Table1346911[[#This Row],[Work ex]]-$H$2</f>
        <v>-0.69999999999999929</v>
      </c>
      <c r="D13">
        <f>Table1346911[[#This Row],[X - Mean]]^2</f>
        <v>0.48999999999999899</v>
      </c>
      <c r="E13" s="6">
        <f>Table1346911[[#This Row],[X - Mean]]/$J$4</f>
        <v>-9.3009722072080428E-2</v>
      </c>
      <c r="F13" s="6"/>
      <c r="G13">
        <v>3</v>
      </c>
      <c r="H13" s="7">
        <f>((MAX(Table47810[X-values])-Table47810[[#This Row],[X-values]])^2)*EXP(-(MAX(Table47810[X-values])-Table47810[[#This Row],[X-values]])/7)</f>
        <v>1.4465121654656601</v>
      </c>
    </row>
    <row r="14" spans="1:10" x14ac:dyDescent="0.35">
      <c r="A14" t="s">
        <v>7</v>
      </c>
      <c r="B14">
        <v>28</v>
      </c>
      <c r="C14">
        <f>Table1346911[[#This Row],[Work ex]]-$H$2</f>
        <v>0.30000000000000071</v>
      </c>
      <c r="D14">
        <f>Table1346911[[#This Row],[X - Mean]]^2</f>
        <v>9.0000000000000427E-2</v>
      </c>
      <c r="E14" s="6">
        <f>Table1346911[[#This Row],[X - Mean]]/$J$4</f>
        <v>3.986130945946318E-2</v>
      </c>
      <c r="F14" s="6"/>
      <c r="G14">
        <v>3.5</v>
      </c>
      <c r="H14" s="7">
        <f>((MAX(Table47810[X-values])-Table47810[[#This Row],[X-values]])^2)*EXP(-(MAX(Table47810[X-values])-Table47810[[#This Row],[X-values]])/7)</f>
        <v>1.5244387952199665</v>
      </c>
    </row>
    <row r="15" spans="1:10" x14ac:dyDescent="0.35">
      <c r="A15" t="s">
        <v>8</v>
      </c>
      <c r="B15">
        <v>28</v>
      </c>
      <c r="C15">
        <f>Table1346911[[#This Row],[Work ex]]-$H$2</f>
        <v>0.30000000000000071</v>
      </c>
      <c r="D15">
        <f>Table1346911[[#This Row],[X - Mean]]^2</f>
        <v>9.0000000000000427E-2</v>
      </c>
      <c r="E15" s="6">
        <f>Table1346911[[#This Row],[X - Mean]]/$J$4</f>
        <v>3.986130945946318E-2</v>
      </c>
      <c r="F15" s="6"/>
      <c r="G15">
        <v>4</v>
      </c>
      <c r="H15" s="7">
        <f>((MAX(Table47810[X-values])-Table47810[[#This Row],[X-values]])^2)*EXP(-(MAX(Table47810[X-values])-Table47810[[#This Row],[X-values]])/7)</f>
        <v>1.6062720683079628</v>
      </c>
    </row>
    <row r="16" spans="1:10" x14ac:dyDescent="0.35">
      <c r="A16" t="s">
        <v>9</v>
      </c>
      <c r="B16">
        <v>28</v>
      </c>
      <c r="C16">
        <f>Table1346911[[#This Row],[Work ex]]-$H$2</f>
        <v>0.30000000000000071</v>
      </c>
      <c r="D16">
        <f>Table1346911[[#This Row],[X - Mean]]^2</f>
        <v>9.0000000000000427E-2</v>
      </c>
      <c r="E16" s="6">
        <f>Table1346911[[#This Row],[X - Mean]]/$J$4</f>
        <v>3.986130945946318E-2</v>
      </c>
      <c r="F16" s="6"/>
      <c r="G16">
        <v>4.5</v>
      </c>
      <c r="H16" s="7">
        <f>((MAX(Table47810[X-values])-Table47810[[#This Row],[X-values]])^2)*EXP(-(MAX(Table47810[X-values])-Table47810[[#This Row],[X-values]])/7)</f>
        <v>1.6921852790887058</v>
      </c>
    </row>
    <row r="17" spans="1:8" x14ac:dyDescent="0.35">
      <c r="A17" t="s">
        <v>10</v>
      </c>
      <c r="B17">
        <v>28</v>
      </c>
      <c r="C17">
        <f>Table1346911[[#This Row],[Work ex]]-$H$2</f>
        <v>0.30000000000000071</v>
      </c>
      <c r="D17">
        <f>Table1346911[[#This Row],[X - Mean]]^2</f>
        <v>9.0000000000000427E-2</v>
      </c>
      <c r="E17" s="6">
        <f>Table1346911[[#This Row],[X - Mean]]/$J$4</f>
        <v>3.986130945946318E-2</v>
      </c>
      <c r="F17" s="6"/>
      <c r="G17">
        <v>5</v>
      </c>
      <c r="H17" s="7">
        <f>((MAX(Table47810[X-values])-Table47810[[#This Row],[X-values]])^2)*EXP(-(MAX(Table47810[X-values])-Table47810[[#This Row],[X-values]])/7)</f>
        <v>1.7823575953966846</v>
      </c>
    </row>
    <row r="18" spans="1:8" x14ac:dyDescent="0.35">
      <c r="A18" t="s">
        <v>11</v>
      </c>
      <c r="B18">
        <v>29</v>
      </c>
      <c r="C18">
        <f>Table1346911[[#This Row],[Work ex]]-$H$2</f>
        <v>1.3000000000000007</v>
      </c>
      <c r="D18">
        <f>Table1346911[[#This Row],[X - Mean]]^2</f>
        <v>1.6900000000000019</v>
      </c>
      <c r="E18" s="6">
        <f>Table1346911[[#This Row],[X - Mean]]/$J$4</f>
        <v>0.17273234099100679</v>
      </c>
      <c r="F18" s="6"/>
      <c r="G18">
        <v>5.5</v>
      </c>
      <c r="H18" s="7">
        <f>((MAX(Table47810[X-values])-Table47810[[#This Row],[X-values]])^2)*EXP(-(MAX(Table47810[X-values])-Table47810[[#This Row],[X-values]])/7)</f>
        <v>1.8769740988410712</v>
      </c>
    </row>
    <row r="19" spans="1:8" x14ac:dyDescent="0.35">
      <c r="A19" t="s">
        <v>12</v>
      </c>
      <c r="B19">
        <v>30</v>
      </c>
      <c r="C19">
        <f>Table1346911[[#This Row],[Work ex]]-$H$2</f>
        <v>2.3000000000000007</v>
      </c>
      <c r="D19">
        <f>Table1346911[[#This Row],[X - Mean]]^2</f>
        <v>5.2900000000000036</v>
      </c>
      <c r="E19" s="6">
        <f>Table1346911[[#This Row],[X - Mean]]/$J$4</f>
        <v>0.30560337252255038</v>
      </c>
      <c r="F19" s="6"/>
      <c r="G19">
        <v>6</v>
      </c>
      <c r="H19" s="7">
        <f>((MAX(Table47810[X-values])-Table47810[[#This Row],[X-values]])^2)*EXP(-(MAX(Table47810[X-values])-Table47810[[#This Row],[X-values]])/7)</f>
        <v>1.9762258077999153</v>
      </c>
    </row>
    <row r="20" spans="1:8" x14ac:dyDescent="0.35">
      <c r="A20" t="s">
        <v>13</v>
      </c>
      <c r="B20">
        <v>31</v>
      </c>
      <c r="C20">
        <f>Table1346911[[#This Row],[Work ex]]-$H$2</f>
        <v>3.3000000000000007</v>
      </c>
      <c r="D20">
        <f>Table1346911[[#This Row],[X - Mean]]^2</f>
        <v>10.890000000000004</v>
      </c>
      <c r="E20" s="6">
        <f>Table1346911[[#This Row],[X - Mean]]/$J$4</f>
        <v>0.43847440405409399</v>
      </c>
      <c r="F20" s="6"/>
      <c r="G20">
        <v>6.5</v>
      </c>
      <c r="H20" s="7">
        <f>((MAX(Table47810[X-values])-Table47810[[#This Row],[X-values]])^2)*EXP(-(MAX(Table47810[X-values])-Table47810[[#This Row],[X-values]])/7)</f>
        <v>2.0803096809867347</v>
      </c>
    </row>
    <row r="21" spans="1:8" x14ac:dyDescent="0.35">
      <c r="A21" t="s">
        <v>14</v>
      </c>
      <c r="B21">
        <v>32</v>
      </c>
      <c r="C21">
        <f>Table1346911[[#This Row],[Work ex]]-$H$2</f>
        <v>4.3000000000000007</v>
      </c>
      <c r="D21">
        <f>Table1346911[[#This Row],[X - Mean]]^2</f>
        <v>18.490000000000006</v>
      </c>
      <c r="E21" s="6">
        <f>Table1346911[[#This Row],[X - Mean]]/$J$4</f>
        <v>0.57134543558563766</v>
      </c>
      <c r="F21" s="6"/>
      <c r="G21">
        <v>7</v>
      </c>
      <c r="H21" s="7">
        <f>((MAX(Table47810[X-values])-Table47810[[#This Row],[X-values]])^2)*EXP(-(MAX(Table47810[X-values])-Table47810[[#This Row],[X-values]])/7)</f>
        <v>2.1894285992963933</v>
      </c>
    </row>
    <row r="22" spans="1:8" x14ac:dyDescent="0.35">
      <c r="A22" t="s">
        <v>15</v>
      </c>
      <c r="B22">
        <v>33</v>
      </c>
      <c r="C22">
        <f>Table1346911[[#This Row],[Work ex]]-$H$2</f>
        <v>5.3000000000000007</v>
      </c>
      <c r="D22">
        <f>Table1346911[[#This Row],[X - Mean]]^2</f>
        <v>28.090000000000007</v>
      </c>
      <c r="E22" s="6">
        <f>Table1346911[[#This Row],[X - Mean]]/$J$4</f>
        <v>0.70421646711718122</v>
      </c>
      <c r="F22" s="6"/>
      <c r="G22">
        <v>7.5</v>
      </c>
      <c r="H22" s="7">
        <f>((MAX(Table47810[X-values])-Table47810[[#This Row],[X-values]])^2)*EXP(-(MAX(Table47810[X-values])-Table47810[[#This Row],[X-values]])/7)</f>
        <v>2.3037913234567058</v>
      </c>
    </row>
    <row r="23" spans="1:8" x14ac:dyDescent="0.35">
      <c r="A23" t="s">
        <v>16</v>
      </c>
      <c r="B23">
        <v>33</v>
      </c>
      <c r="C23">
        <f>Table1346911[[#This Row],[Work ex]]-$H$2</f>
        <v>5.3000000000000007</v>
      </c>
      <c r="D23">
        <f>Table1346911[[#This Row],[X - Mean]]^2</f>
        <v>28.090000000000007</v>
      </c>
      <c r="E23" s="6">
        <f>Table1346911[[#This Row],[X - Mean]]/$J$4</f>
        <v>0.70421646711718122</v>
      </c>
      <c r="F23" s="6"/>
      <c r="G23">
        <v>8</v>
      </c>
      <c r="H23" s="7">
        <f>((MAX(Table47810[X-values])-Table47810[[#This Row],[X-values]])^2)*EXP(-(MAX(Table47810[X-values])-Table47810[[#This Row],[X-values]])/7)</f>
        <v>2.4236124248213837</v>
      </c>
    </row>
    <row r="24" spans="1:8" x14ac:dyDescent="0.35">
      <c r="A24" t="s">
        <v>17</v>
      </c>
      <c r="B24">
        <v>34</v>
      </c>
      <c r="C24">
        <f>Table1346911[[#This Row],[Work ex]]-$H$2</f>
        <v>6.3000000000000007</v>
      </c>
      <c r="D24">
        <f>Table1346911[[#This Row],[X - Mean]]^2</f>
        <v>39.690000000000012</v>
      </c>
      <c r="E24" s="6">
        <f>Table1346911[[#This Row],[X - Mean]]/$J$4</f>
        <v>0.83708749864872478</v>
      </c>
      <c r="F24" s="6"/>
      <c r="G24">
        <v>8.5</v>
      </c>
      <c r="H24" s="7">
        <f>((MAX(Table47810[X-values])-Table47810[[#This Row],[X-values]])^2)*EXP(-(MAX(Table47810[X-values])-Table47810[[#This Row],[X-values]])/7)</f>
        <v>2.5491121864386899</v>
      </c>
    </row>
    <row r="25" spans="1:8" x14ac:dyDescent="0.35">
      <c r="A25" t="s">
        <v>18</v>
      </c>
      <c r="B25">
        <v>35</v>
      </c>
      <c r="C25">
        <f>Table1346911[[#This Row],[Work ex]]-$H$2</f>
        <v>7.3000000000000007</v>
      </c>
      <c r="D25">
        <f>Table1346911[[#This Row],[X - Mean]]^2</f>
        <v>53.290000000000013</v>
      </c>
      <c r="E25" s="6">
        <f>Table1346911[[#This Row],[X - Mean]]/$J$4</f>
        <v>0.96995853018026845</v>
      </c>
      <c r="F25" s="6"/>
      <c r="G25">
        <v>9</v>
      </c>
      <c r="H25" s="7">
        <f>((MAX(Table47810[X-values])-Table47810[[#This Row],[X-values]])^2)*EXP(-(MAX(Table47810[X-values])-Table47810[[#This Row],[X-values]])/7)</f>
        <v>2.6805164713182101</v>
      </c>
    </row>
    <row r="26" spans="1:8" x14ac:dyDescent="0.35">
      <c r="A26" t="s">
        <v>19</v>
      </c>
      <c r="B26">
        <v>35</v>
      </c>
      <c r="C26">
        <f>Table1346911[[#This Row],[Work ex]]-$H$2</f>
        <v>7.3000000000000007</v>
      </c>
      <c r="D26">
        <f>Table1346911[[#This Row],[X - Mean]]^2</f>
        <v>53.290000000000013</v>
      </c>
      <c r="E26" s="6">
        <f>Table1346911[[#This Row],[X - Mean]]/$J$4</f>
        <v>0.96995853018026845</v>
      </c>
      <c r="F26" s="6"/>
      <c r="G26">
        <v>9.5</v>
      </c>
      <c r="H26" s="7">
        <f>((MAX(Table47810[X-values])-Table47810[[#This Row],[X-values]])^2)*EXP(-(MAX(Table47810[X-values])-Table47810[[#This Row],[X-values]])/7)</f>
        <v>2.8180565545952154</v>
      </c>
    </row>
    <row r="27" spans="1:8" x14ac:dyDescent="0.35">
      <c r="G27">
        <v>10</v>
      </c>
      <c r="H27" s="7">
        <f>((MAX(Table47810[X-values])-Table47810[[#This Row],[X-values]])^2)*EXP(-(MAX(Table47810[X-values])-Table47810[[#This Row],[X-values]])/7)</f>
        <v>2.9619689160583853</v>
      </c>
    </row>
    <row r="28" spans="1:8" x14ac:dyDescent="0.35">
      <c r="G28">
        <v>10.5</v>
      </c>
      <c r="H28" s="7">
        <f>((MAX(Table47810[X-values])-Table47810[[#This Row],[X-values]])^2)*EXP(-(MAX(Table47810[X-values])-Table47810[[#This Row],[X-values]])/7)</f>
        <v>3.112494989261819</v>
      </c>
    </row>
    <row r="29" spans="1:8" x14ac:dyDescent="0.35">
      <c r="G29">
        <v>11</v>
      </c>
      <c r="H29" s="7">
        <f>((MAX(Table47810[X-values])-Table47810[[#This Row],[X-values]])^2)*EXP(-(MAX(Table47810[X-values])-Table47810[[#This Row],[X-values]])/7)</f>
        <v>3.269880863186684</v>
      </c>
    </row>
    <row r="30" spans="1:8" x14ac:dyDescent="0.35">
      <c r="G30">
        <v>11.5</v>
      </c>
      <c r="H30" s="7">
        <f>((MAX(Table47810[X-values])-Table47810[[#This Row],[X-values]])^2)*EXP(-(MAX(Table47810[X-values])-Table47810[[#This Row],[X-values]])/7)</f>
        <v>3.4343769321513551</v>
      </c>
    </row>
    <row r="31" spans="1:8" x14ac:dyDescent="0.35">
      <c r="G31">
        <v>12</v>
      </c>
      <c r="H31" s="7">
        <f>((MAX(Table47810[X-values])-Table47810[[#This Row],[X-values]])^2)*EXP(-(MAX(Table47810[X-values])-Table47810[[#This Row],[X-values]])/7)</f>
        <v>3.6062374893921714</v>
      </c>
    </row>
    <row r="32" spans="1:8" x14ac:dyDescent="0.35">
      <c r="G32">
        <v>12.5</v>
      </c>
      <c r="H32" s="7">
        <f>((MAX(Table47810[X-values])-Table47810[[#This Row],[X-values]])^2)*EXP(-(MAX(Table47810[X-values])-Table47810[[#This Row],[X-values]])/7)</f>
        <v>3.7857202594500747</v>
      </c>
    </row>
    <row r="33" spans="7:8" x14ac:dyDescent="0.35">
      <c r="G33">
        <v>13</v>
      </c>
      <c r="H33" s="7">
        <f>((MAX(Table47810[X-values])-Table47810[[#This Row],[X-values]])^2)*EXP(-(MAX(Table47810[X-values])-Table47810[[#This Row],[X-values]])/7)</f>
        <v>3.9730858642020777</v>
      </c>
    </row>
    <row r="34" spans="7:8" x14ac:dyDescent="0.35">
      <c r="G34">
        <v>13.5</v>
      </c>
      <c r="H34" s="7">
        <f>((MAX(Table47810[X-values])-Table47810[[#This Row],[X-values]])^2)*EXP(-(MAX(Table47810[X-values])-Table47810[[#This Row],[X-values]])/7)</f>
        <v>4.1685972170716559</v>
      </c>
    </row>
    <row r="35" spans="7:8" x14ac:dyDescent="0.35">
      <c r="G35">
        <v>14</v>
      </c>
      <c r="H35" s="7">
        <f>((MAX(Table47810[X-values])-Table47810[[#This Row],[X-values]])^2)*EXP(-(MAX(Table47810[X-values])-Table47810[[#This Row],[X-values]])/7)</f>
        <v>4.3725188396394561</v>
      </c>
    </row>
    <row r="36" spans="7:8" x14ac:dyDescent="0.35">
      <c r="G36">
        <v>14.5</v>
      </c>
      <c r="H36" s="7">
        <f>((MAX(Table47810[X-values])-Table47810[[#This Row],[X-values]])^2)*EXP(-(MAX(Table47810[X-values])-Table47810[[#This Row],[X-values]])/7)</f>
        <v>4.5851160945567226</v>
      </c>
    </row>
    <row r="37" spans="7:8" x14ac:dyDescent="0.35">
      <c r="G37">
        <v>15</v>
      </c>
      <c r="H37" s="7">
        <f>((MAX(Table47810[X-values])-Table47810[[#This Row],[X-values]])^2)*EXP(-(MAX(Table47810[X-values])-Table47810[[#This Row],[X-values]])/7)</f>
        <v>4.8066543283395973</v>
      </c>
    </row>
    <row r="38" spans="7:8" x14ac:dyDescent="0.35">
      <c r="G38">
        <v>15.5</v>
      </c>
      <c r="H38" s="7">
        <f>((MAX(Table47810[X-values])-Table47810[[#This Row],[X-values]])^2)*EXP(-(MAX(Table47810[X-values])-Table47810[[#This Row],[X-values]])/7)</f>
        <v>5.037397917295265</v>
      </c>
    </row>
    <row r="39" spans="7:8" x14ac:dyDescent="0.35">
      <c r="G39">
        <v>16</v>
      </c>
      <c r="H39" s="7">
        <f>((MAX(Table47810[X-values])-Table47810[[#This Row],[X-values]])^2)*EXP(-(MAX(Table47810[X-values])-Table47810[[#This Row],[X-values]])/7)</f>
        <v>5.277609209502546</v>
      </c>
    </row>
    <row r="40" spans="7:8" x14ac:dyDescent="0.35">
      <c r="G40">
        <v>16.5</v>
      </c>
      <c r="H40" s="7">
        <f>((MAX(Table47810[X-values])-Table47810[[#This Row],[X-values]])^2)*EXP(-(MAX(Table47810[X-values])-Table47810[[#This Row],[X-values]])/7)</f>
        <v>5.5275473554425556</v>
      </c>
    </row>
    <row r="41" spans="7:8" x14ac:dyDescent="0.35">
      <c r="G41">
        <v>17</v>
      </c>
      <c r="H41" s="7">
        <f>((MAX(Table47810[X-values])-Table47810[[#This Row],[X-values]])^2)*EXP(-(MAX(Table47810[X-values])-Table47810[[#This Row],[X-values]])/7)</f>
        <v>5.7874670195527829</v>
      </c>
    </row>
    <row r="42" spans="7:8" x14ac:dyDescent="0.35">
      <c r="G42">
        <v>17.5</v>
      </c>
      <c r="H42" s="7">
        <f>((MAX(Table47810[X-values])-Table47810[[#This Row],[X-values]])^2)*EXP(-(MAX(Table47810[X-values])-Table47810[[#This Row],[X-values]])/7)</f>
        <v>6.0576169646633629</v>
      </c>
    </row>
    <row r="43" spans="7:8" x14ac:dyDescent="0.35">
      <c r="G43">
        <v>18</v>
      </c>
      <c r="H43" s="7">
        <f>((MAX(Table47810[X-values])-Table47810[[#This Row],[X-values]])^2)*EXP(-(MAX(Table47810[X-values])-Table47810[[#This Row],[X-values]])/7)</f>
        <v>6.338238500972067</v>
      </c>
    </row>
    <row r="44" spans="7:8" x14ac:dyDescent="0.35">
      <c r="G44">
        <v>18.5</v>
      </c>
      <c r="H44" s="7">
        <f>((MAX(Table47810[X-values])-Table47810[[#This Row],[X-values]])^2)*EXP(-(MAX(Table47810[X-values])-Table47810[[#This Row],[X-values]])/7)</f>
        <v>6.6295637909286684</v>
      </c>
    </row>
    <row r="45" spans="7:8" x14ac:dyDescent="0.35">
      <c r="G45">
        <v>19</v>
      </c>
      <c r="H45" s="7">
        <f>((MAX(Table47810[X-values])-Table47810[[#This Row],[X-values]])^2)*EXP(-(MAX(Table47810[X-values])-Table47810[[#This Row],[X-values]])/7)</f>
        <v>6.9318140011360079</v>
      </c>
    </row>
    <row r="46" spans="7:8" x14ac:dyDescent="0.35">
      <c r="G46">
        <v>19.5</v>
      </c>
      <c r="H46" s="7">
        <f>((MAX(Table47810[X-values])-Table47810[[#This Row],[X-values]])^2)*EXP(-(MAX(Table47810[X-values])-Table47810[[#This Row],[X-values]])/7)</f>
        <v>7.2451972921399914</v>
      </c>
    </row>
    <row r="47" spans="7:8" x14ac:dyDescent="0.35">
      <c r="G47">
        <v>20</v>
      </c>
      <c r="H47" s="7">
        <f>((MAX(Table47810[X-values])-Table47810[[#This Row],[X-values]])^2)*EXP(-(MAX(Table47810[X-values])-Table47810[[#This Row],[X-values]])/7)</f>
        <v>7.569906636781039</v>
      </c>
    </row>
    <row r="48" spans="7:8" x14ac:dyDescent="0.35">
      <c r="G48">
        <v>20.5</v>
      </c>
      <c r="H48" s="7">
        <f>((MAX(Table47810[X-values])-Table47810[[#This Row],[X-values]])^2)*EXP(-(MAX(Table47810[X-values])-Table47810[[#This Row],[X-values]])/7)</f>
        <v>7.9061174576239042</v>
      </c>
    </row>
    <row r="49" spans="7:8" x14ac:dyDescent="0.35">
      <c r="G49">
        <v>21</v>
      </c>
      <c r="H49" s="7">
        <f>((MAX(Table47810[X-values])-Table47810[[#This Row],[X-values]])^2)*EXP(-(MAX(Table47810[X-values])-Table47810[[#This Row],[X-values]])/7)</f>
        <v>8.2539850738796972</v>
      </c>
    </row>
    <row r="50" spans="7:8" x14ac:dyDescent="0.35">
      <c r="G50">
        <v>21.5</v>
      </c>
      <c r="H50" s="7">
        <f>((MAX(Table47810[X-values])-Table47810[[#This Row],[X-values]])^2)*EXP(-(MAX(Table47810[X-values])-Table47810[[#This Row],[X-values]])/7)</f>
        <v>8.6136419481948554</v>
      </c>
    </row>
    <row r="51" spans="7:8" x14ac:dyDescent="0.35">
      <c r="G51">
        <v>22</v>
      </c>
      <c r="H51" s="7">
        <f>((MAX(Table47810[X-values])-Table47810[[#This Row],[X-values]])^2)*EXP(-(MAX(Table47810[X-values])-Table47810[[#This Row],[X-values]])/7)</f>
        <v>8.9851947237176883</v>
      </c>
    </row>
    <row r="52" spans="7:8" x14ac:dyDescent="0.35">
      <c r="G52">
        <v>22.5</v>
      </c>
      <c r="H52" s="7">
        <f>((MAX(Table47810[X-values])-Table47810[[#This Row],[X-values]])^2)*EXP(-(MAX(Table47810[X-values])-Table47810[[#This Row],[X-values]])/7)</f>
        <v>9.3687210419784961</v>
      </c>
    </row>
    <row r="53" spans="7:8" x14ac:dyDescent="0.35">
      <c r="G53">
        <v>23</v>
      </c>
      <c r="H53" s="7">
        <f>((MAX(Table47810[X-values])-Table47810[[#This Row],[X-values]])^2)*EXP(-(MAX(Table47810[X-values])-Table47810[[#This Row],[X-values]])/7)</f>
        <v>9.7642661323486735</v>
      </c>
    </row>
    <row r="54" spans="7:8" x14ac:dyDescent="0.35">
      <c r="G54">
        <v>23.5</v>
      </c>
      <c r="H54" s="7">
        <f>((MAX(Table47810[X-values])-Table47810[[#This Row],[X-values]])^2)*EXP(-(MAX(Table47810[X-values])-Table47810[[#This Row],[X-values]])/7)</f>
        <v>10.171839164194974</v>
      </c>
    </row>
    <row r="55" spans="7:8" x14ac:dyDescent="0.35">
      <c r="G55">
        <v>24</v>
      </c>
      <c r="H55" s="7">
        <f>((MAX(Table47810[X-values])-Table47810[[#This Row],[X-values]])^2)*EXP(-(MAX(Table47810[X-values])-Table47810[[#This Row],[X-values]])/7)</f>
        <v>10.591409353337088</v>
      </c>
    </row>
    <row r="56" spans="7:8" x14ac:dyDescent="0.35">
      <c r="G56">
        <v>24.5</v>
      </c>
      <c r="H56" s="7">
        <f>((MAX(Table47810[X-values])-Table47810[[#This Row],[X-values]])^2)*EXP(-(MAX(Table47810[X-values])-Table47810[[#This Row],[X-values]])/7)</f>
        <v>11.022901815070929</v>
      </c>
    </row>
    <row r="57" spans="7:8" x14ac:dyDescent="0.35">
      <c r="G57">
        <v>25</v>
      </c>
      <c r="H57" s="7">
        <f>((MAX(Table47810[X-values])-Table47810[[#This Row],[X-values]])^2)*EXP(-(MAX(Table47810[X-values])-Table47810[[#This Row],[X-values]])/7)</f>
        <v>11.466193156861653</v>
      </c>
    </row>
    <row r="58" spans="7:8" x14ac:dyDescent="0.35">
      <c r="G58">
        <v>25.5</v>
      </c>
      <c r="H58" s="7">
        <f>((MAX(Table47810[X-values])-Table47810[[#This Row],[X-values]])^2)*EXP(-(MAX(Table47810[X-values])-Table47810[[#This Row],[X-values]])/7)</f>
        <v>11.921106804866085</v>
      </c>
    </row>
    <row r="59" spans="7:8" x14ac:dyDescent="0.35">
      <c r="G59">
        <v>26</v>
      </c>
      <c r="H59" s="7">
        <f>((MAX(Table47810[X-values])-Table47810[[#This Row],[X-values]])^2)*EXP(-(MAX(Table47810[X-values])-Table47810[[#This Row],[X-values]])/7)</f>
        <v>12.387408059745361</v>
      </c>
    </row>
    <row r="60" spans="7:8" x14ac:dyDescent="0.35">
      <c r="G60">
        <v>26.5</v>
      </c>
      <c r="H60" s="7">
        <f>((MAX(Table47810[X-values])-Table47810[[#This Row],[X-values]])^2)*EXP(-(MAX(Table47810[X-values])-Table47810[[#This Row],[X-values]])/7)</f>
        <v>12.864798878809006</v>
      </c>
    </row>
    <row r="61" spans="7:8" x14ac:dyDescent="0.35">
      <c r="G61">
        <v>27</v>
      </c>
      <c r="H61" s="7">
        <f>((MAX(Table47810[X-values])-Table47810[[#This Row],[X-values]])^2)*EXP(-(MAX(Table47810[X-values])-Table47810[[#This Row],[X-values]])/7)</f>
        <v>13.352912383429301</v>
      </c>
    </row>
    <row r="62" spans="7:8" x14ac:dyDescent="0.35">
      <c r="G62">
        <v>27.5</v>
      </c>
      <c r="H62" s="7">
        <f>((MAX(Table47810[X-values])-Table47810[[#This Row],[X-values]])^2)*EXP(-(MAX(Table47810[X-values])-Table47810[[#This Row],[X-values]])/7)</f>
        <v>13.851307092923509</v>
      </c>
    </row>
    <row r="63" spans="7:8" x14ac:dyDescent="0.35">
      <c r="G63">
        <v>28</v>
      </c>
      <c r="H63" s="7">
        <f>((MAX(Table47810[X-values])-Table47810[[#This Row],[X-values]])^2)*EXP(-(MAX(Table47810[X-values])-Table47810[[#This Row],[X-values]])/7)</f>
        <v>14.359460888767597</v>
      </c>
    </row>
    <row r="64" spans="7:8" x14ac:dyDescent="0.35">
      <c r="G64">
        <v>28.5</v>
      </c>
      <c r="H64" s="7">
        <f>((MAX(Table47810[X-values])-Table47810[[#This Row],[X-values]])^2)*EXP(-(MAX(Table47810[X-values])-Table47810[[#This Row],[X-values]])/7)</f>
        <v>14.876764716132687</v>
      </c>
    </row>
    <row r="65" spans="7:8" x14ac:dyDescent="0.35">
      <c r="G65">
        <v>29</v>
      </c>
      <c r="H65" s="7">
        <f>((MAX(Table47810[X-values])-Table47810[[#This Row],[X-values]])^2)*EXP(-(MAX(Table47810[X-values])-Table47810[[#This Row],[X-values]])/7)</f>
        <v>15.402516033382611</v>
      </c>
    </row>
    <row r="66" spans="7:8" x14ac:dyDescent="0.35">
      <c r="G66">
        <v>29.5</v>
      </c>
      <c r="H66" s="7">
        <f>((MAX(Table47810[X-values])-Table47810[[#This Row],[X-values]])^2)*EXP(-(MAX(Table47810[X-values])-Table47810[[#This Row],[X-values]])/7)</f>
        <v>15.935912024404658</v>
      </c>
    </row>
    <row r="67" spans="7:8" x14ac:dyDescent="0.35">
      <c r="G67">
        <v>30</v>
      </c>
      <c r="H67" s="7">
        <f>((MAX(Table47810[X-values])-Table47810[[#This Row],[X-values]])^2)*EXP(-(MAX(Table47810[X-values])-Table47810[[#This Row],[X-values]])/7)</f>
        <v>16.476042593537009</v>
      </c>
    </row>
    <row r="68" spans="7:8" x14ac:dyDescent="0.35">
      <c r="G68">
        <v>30.5</v>
      </c>
      <c r="H68" s="7">
        <f>((MAX(Table47810[X-values])-Table47810[[#This Row],[X-values]])^2)*EXP(-(MAX(Table47810[X-values])-Table47810[[#This Row],[X-values]])/7)</f>
        <v>17.021883168488543</v>
      </c>
    </row>
    <row r="69" spans="7:8" x14ac:dyDescent="0.35">
      <c r="G69">
        <v>31</v>
      </c>
      <c r="H69" s="7">
        <f>((MAX(Table47810[X-values])-Table47810[[#This Row],[X-values]])^2)*EXP(-(MAX(Table47810[X-values])-Table47810[[#This Row],[X-values]])/7)</f>
        <v>17.572287343107522</v>
      </c>
    </row>
    <row r="70" spans="7:8" x14ac:dyDescent="0.35">
      <c r="G70">
        <v>31.5</v>
      </c>
      <c r="H70" s="7">
        <f>((MAX(Table47810[X-values])-Table47810[[#This Row],[X-values]])^2)*EXP(-(MAX(Table47810[X-values])-Table47810[[#This Row],[X-values]])/7)</f>
        <v>18.125979399246681</v>
      </c>
    </row>
    <row r="71" spans="7:8" x14ac:dyDescent="0.35">
      <c r="G71">
        <v>32</v>
      </c>
      <c r="H71" s="7">
        <f>((MAX(Table47810[X-values])-Table47810[[#This Row],[X-values]])^2)*EXP(-(MAX(Table47810[X-values])-Table47810[[#This Row],[X-values]])/7)</f>
        <v>18.681546755402223</v>
      </c>
    </row>
    <row r="72" spans="7:8" x14ac:dyDescent="0.35">
      <c r="G72">
        <v>32.5</v>
      </c>
      <c r="H72" s="7">
        <f>((MAX(Table47810[X-values])-Table47810[[#This Row],[X-values]])^2)*EXP(-(MAX(Table47810[X-values])-Table47810[[#This Row],[X-values]])/7)</f>
        <v>19.237432399397026</v>
      </c>
    </row>
    <row r="73" spans="7:8" x14ac:dyDescent="0.35">
      <c r="G73">
        <v>33</v>
      </c>
      <c r="H73" s="7">
        <f>((MAX(Table47810[X-values])-Table47810[[#This Row],[X-values]])^2)*EXP(-(MAX(Table47810[X-values])-Table47810[[#This Row],[X-values]])/7)</f>
        <v>19.791927373268159</v>
      </c>
    </row>
    <row r="74" spans="7:8" x14ac:dyDescent="0.35">
      <c r="G74">
        <v>33.5</v>
      </c>
      <c r="H74" s="7">
        <f>((MAX(Table47810[X-values])-Table47810[[#This Row],[X-values]])^2)*EXP(-(MAX(Table47810[X-values])-Table47810[[#This Row],[X-values]])/7)</f>
        <v>20.343163390856024</v>
      </c>
    </row>
    <row r="75" spans="7:8" x14ac:dyDescent="0.35">
      <c r="G75">
        <v>34</v>
      </c>
      <c r="H75" s="7">
        <f>((MAX(Table47810[X-values])-Table47810[[#This Row],[X-values]])^2)*EXP(-(MAX(Table47810[X-values])-Table47810[[#This Row],[X-values]])/7)</f>
        <v>20.889105682543061</v>
      </c>
    </row>
    <row r="76" spans="7:8" x14ac:dyDescent="0.35">
      <c r="G76">
        <v>34.5</v>
      </c>
      <c r="H76" s="7">
        <f>((MAX(Table47810[X-values])-Table47810[[#This Row],[X-values]])^2)*EXP(-(MAX(Table47810[X-values])-Table47810[[#This Row],[X-values]])/7)</f>
        <v>21.427546177335675</v>
      </c>
    </row>
    <row r="77" spans="7:8" x14ac:dyDescent="0.35">
      <c r="G77">
        <v>35</v>
      </c>
      <c r="H77" s="7">
        <f>((MAX(Table47810[X-values])-Table47810[[#This Row],[X-values]])^2)*EXP(-(MAX(Table47810[X-values])-Table47810[[#This Row],[X-values]])/7)</f>
        <v>21.956097150228</v>
      </c>
    </row>
    <row r="78" spans="7:8" x14ac:dyDescent="0.35">
      <c r="G78">
        <v>35.5</v>
      </c>
      <c r="H78" s="7">
        <f>((MAX(Table47810[X-values])-Table47810[[#This Row],[X-values]])^2)*EXP(-(MAX(Table47810[X-values])-Table47810[[#This Row],[X-values]])/7)</f>
        <v>22.472185482751314</v>
      </c>
    </row>
    <row r="79" spans="7:8" x14ac:dyDescent="0.35">
      <c r="G79">
        <v>36</v>
      </c>
      <c r="H79" s="7">
        <f>((MAX(Table47810[X-values])-Table47810[[#This Row],[X-values]])^2)*EXP(-(MAX(Table47810[X-values])-Table47810[[#This Row],[X-values]])/7)</f>
        <v>22.973047707046941</v>
      </c>
    </row>
    <row r="80" spans="7:8" x14ac:dyDescent="0.35">
      <c r="G80">
        <v>36.5</v>
      </c>
      <c r="H80" s="7">
        <f>((MAX(Table47810[X-values])-Table47810[[#This Row],[X-values]])^2)*EXP(-(MAX(Table47810[X-values])-Table47810[[#This Row],[X-values]])/7)</f>
        <v>23.45572602897289</v>
      </c>
    </row>
    <row r="81" spans="7:8" x14ac:dyDescent="0.35">
      <c r="G81">
        <v>37</v>
      </c>
      <c r="H81" s="7">
        <f>((MAX(Table47810[X-values])-Table47810[[#This Row],[X-values]])^2)*EXP(-(MAX(Table47810[X-values])-Table47810[[#This Row],[X-values]])/7)</f>
        <v>23.917065553966463</v>
      </c>
    </row>
    <row r="82" spans="7:8" x14ac:dyDescent="0.35">
      <c r="G82">
        <v>37.5</v>
      </c>
      <c r="H82" s="7">
        <f>((MAX(Table47810[X-values])-Table47810[[#This Row],[X-values]])^2)*EXP(-(MAX(Table47810[X-values])-Table47810[[#This Row],[X-values]])/7)</f>
        <v>24.353712970966047</v>
      </c>
    </row>
    <row r="83" spans="7:8" x14ac:dyDescent="0.35">
      <c r="G83">
        <v>38</v>
      </c>
      <c r="H83" s="7">
        <f>((MAX(Table47810[X-values])-Table47810[[#This Row],[X-values]])^2)*EXP(-(MAX(Table47810[X-values])-Table47810[[#This Row],[X-values]])/7)</f>
        <v>24.762116985008856</v>
      </c>
    </row>
    <row r="84" spans="7:8" x14ac:dyDescent="0.35">
      <c r="G84">
        <v>38.5</v>
      </c>
      <c r="H84" s="7">
        <f>((MAX(Table47810[X-values])-Table47810[[#This Row],[X-values]])^2)*EXP(-(MAX(Table47810[X-values])-Table47810[[#This Row],[X-values]])/7)</f>
        <v>25.138530828569007</v>
      </c>
    </row>
    <row r="85" spans="7:8" x14ac:dyDescent="0.35">
      <c r="G85">
        <v>39</v>
      </c>
      <c r="H85" s="7">
        <f>((MAX(Table47810[X-values])-Table47810[[#This Row],[X-values]])^2)*EXP(-(MAX(Table47810[X-values])-Table47810[[#This Row],[X-values]])/7)</f>
        <v>25.479017225721304</v>
      </c>
    </row>
    <row r="86" spans="7:8" x14ac:dyDescent="0.35">
      <c r="G86">
        <v>39.5</v>
      </c>
      <c r="H86" s="7">
        <f>((MAX(Table47810[X-values])-Table47810[[#This Row],[X-values]])^2)*EXP(-(MAX(Table47810[X-values])-Table47810[[#This Row],[X-values]])/7)</f>
        <v>25.779456232298262</v>
      </c>
    </row>
    <row r="87" spans="7:8" x14ac:dyDescent="0.35">
      <c r="G87">
        <v>40</v>
      </c>
      <c r="H87" s="7">
        <f>((MAX(Table47810[X-values])-Table47810[[#This Row],[X-values]])^2)*EXP(-(MAX(Table47810[X-values])-Table47810[[#This Row],[X-values]])/7)</f>
        <v>26.035556429882071</v>
      </c>
    </row>
    <row r="88" spans="7:8" x14ac:dyDescent="0.35">
      <c r="G88">
        <v>40.5</v>
      </c>
      <c r="H88" s="7">
        <f>((MAX(Table47810[X-values])-Table47810[[#This Row],[X-values]])^2)*EXP(-(MAX(Table47810[X-values])-Table47810[[#This Row],[X-values]])/7)</f>
        <v>26.242870012329121</v>
      </c>
    </row>
    <row r="89" spans="7:8" x14ac:dyDescent="0.35">
      <c r="G89">
        <v>41</v>
      </c>
      <c r="H89" s="7">
        <f>((MAX(Table47810[X-values])-Table47810[[#This Row],[X-values]])^2)*EXP(-(MAX(Table47810[X-values])-Table47810[[#This Row],[X-values]])/7)</f>
        <v>26.396812371206426</v>
      </c>
    </row>
    <row r="90" spans="7:8" x14ac:dyDescent="0.35">
      <c r="G90">
        <v>41.5</v>
      </c>
      <c r="H90" s="7">
        <f>((MAX(Table47810[X-values])-Table47810[[#This Row],[X-values]])^2)*EXP(-(MAX(Table47810[X-values])-Table47810[[#This Row],[X-values]])/7)</f>
        <v>26.492686861736061</v>
      </c>
    </row>
    <row r="91" spans="7:8" x14ac:dyDescent="0.35">
      <c r="G91">
        <v>42</v>
      </c>
      <c r="H91" s="7">
        <f>((MAX(Table47810[X-values])-Table47810[[#This Row],[X-values]])^2)*EXP(-(MAX(Table47810[X-values])-Table47810[[#This Row],[X-values]])/7)</f>
        <v>26.525715514376088</v>
      </c>
    </row>
    <row r="92" spans="7:8" x14ac:dyDescent="0.35">
      <c r="G92">
        <v>42.5</v>
      </c>
      <c r="H92" s="7">
        <f>((MAX(Table47810[X-values])-Table47810[[#This Row],[X-values]])^2)*EXP(-(MAX(Table47810[X-values])-Table47810[[#This Row],[X-values]])/7)</f>
        <v>26.491076549868545</v>
      </c>
    </row>
    <row r="93" spans="7:8" x14ac:dyDescent="0.35">
      <c r="G93">
        <v>43</v>
      </c>
      <c r="H93" s="7">
        <f>((MAX(Table47810[X-values])-Table47810[[#This Row],[X-values]])^2)*EXP(-(MAX(Table47810[X-values])-Table47810[[#This Row],[X-values]])/7)</f>
        <v>26.383949658399111</v>
      </c>
    </row>
    <row r="94" spans="7:8" x14ac:dyDescent="0.35">
      <c r="G94">
        <v>43.5</v>
      </c>
      <c r="H94" s="7">
        <f>((MAX(Table47810[X-values])-Table47810[[#This Row],[X-values]])^2)*EXP(-(MAX(Table47810[X-values])-Table47810[[#This Row],[X-values]])/7)</f>
        <v>26.199570117468291</v>
      </c>
    </row>
    <row r="95" spans="7:8" x14ac:dyDescent="0.35">
      <c r="G95">
        <v>44</v>
      </c>
      <c r="H95" s="7">
        <f>((MAX(Table47810[X-values])-Table47810[[#This Row],[X-values]])^2)*EXP(-(MAX(Table47810[X-values])-Table47810[[#This Row],[X-values]])/7)</f>
        <v>25.933292949305148</v>
      </c>
    </row>
    <row r="96" spans="7:8" x14ac:dyDescent="0.35">
      <c r="G96">
        <v>44.5</v>
      </c>
      <c r="H96" s="7">
        <f>((MAX(Table47810[X-values])-Table47810[[#This Row],[X-values]])^2)*EXP(-(MAX(Table47810[X-values])-Table47810[[#This Row],[X-values]])/7)</f>
        <v>25.580668458401913</v>
      </c>
    </row>
    <row r="97" spans="7:8" x14ac:dyDescent="0.35">
      <c r="G97">
        <v>45</v>
      </c>
      <c r="H97" s="7">
        <f>((MAX(Table47810[X-values])-Table47810[[#This Row],[X-values]])^2)*EXP(-(MAX(Table47810[X-values])-Table47810[[#This Row],[X-values]])/7)</f>
        <v>25.137530644375705</v>
      </c>
    </row>
    <row r="98" spans="7:8" x14ac:dyDescent="0.35">
      <c r="G98">
        <v>45.5</v>
      </c>
      <c r="H98" s="7">
        <f>((MAX(Table47810[X-values])-Table47810[[#This Row],[X-values]])^2)*EXP(-(MAX(Table47810[X-values])-Table47810[[#This Row],[X-values]])/7)</f>
        <v>24.600100156364388</v>
      </c>
    </row>
    <row r="99" spans="7:8" x14ac:dyDescent="0.35">
      <c r="G99">
        <v>46</v>
      </c>
      <c r="H99" s="7">
        <f>((MAX(Table47810[X-values])-Table47810[[#This Row],[X-values]])^2)*EXP(-(MAX(Table47810[X-values])-Table47810[[#This Row],[X-values]])/7)</f>
        <v>23.965103644177578</v>
      </c>
    </row>
    <row r="100" spans="7:8" x14ac:dyDescent="0.35">
      <c r="G100">
        <v>46.5</v>
      </c>
      <c r="H100" s="7">
        <f>((MAX(Table47810[X-values])-Table47810[[#This Row],[X-values]])^2)*EXP(-(MAX(Table47810[X-values])-Table47810[[#This Row],[X-values]])/7)</f>
        <v>23.229911570244266</v>
      </c>
    </row>
    <row r="101" spans="7:8" x14ac:dyDescent="0.35">
      <c r="G101">
        <v>47</v>
      </c>
      <c r="H101" s="7">
        <f>((MAX(Table47810[X-values])-Table47810[[#This Row],[X-values]])^2)*EXP(-(MAX(Table47810[X-values])-Table47810[[#This Row],[X-values]])/7)</f>
        <v>22.392696776994711</v>
      </c>
    </row>
    <row r="102" spans="7:8" x14ac:dyDescent="0.35">
      <c r="G102">
        <v>47.5</v>
      </c>
      <c r="H102" s="7">
        <f>((MAX(Table47810[X-values])-Table47810[[#This Row],[X-values]])^2)*EXP(-(MAX(Table47810[X-values])-Table47810[[#This Row],[X-values]])/7)</f>
        <v>21.452616358840501</v>
      </c>
    </row>
    <row r="103" spans="7:8" x14ac:dyDescent="0.35">
      <c r="G103">
        <v>48</v>
      </c>
      <c r="H103" s="7">
        <f>((MAX(Table47810[X-values])-Table47810[[#This Row],[X-values]])^2)*EXP(-(MAX(Table47810[X-values])-Table47810[[#This Row],[X-values]])/7)</f>
        <v>20.410019668734108</v>
      </c>
    </row>
    <row r="104" spans="7:8" x14ac:dyDescent="0.35">
      <c r="G104">
        <v>48.5</v>
      </c>
      <c r="H104" s="7">
        <f>((MAX(Table47810[X-values])-Table47810[[#This Row],[X-values]])^2)*EXP(-(MAX(Table47810[X-values])-Table47810[[#This Row],[X-values]])/7)</f>
        <v>19.266685598983816</v>
      </c>
    </row>
    <row r="105" spans="7:8" x14ac:dyDescent="0.35">
      <c r="G105">
        <v>49</v>
      </c>
      <c r="H105" s="7">
        <f>((MAX(Table47810[X-values])-Table47810[[#This Row],[X-values]])^2)*EXP(-(MAX(Table47810[X-values])-Table47810[[#This Row],[X-values]])/7)</f>
        <v>18.026092617400675</v>
      </c>
    </row>
    <row r="106" spans="7:8" x14ac:dyDescent="0.35">
      <c r="G106">
        <v>49.5</v>
      </c>
      <c r="H106" s="7">
        <f>((MAX(Table47810[X-values])-Table47810[[#This Row],[X-values]])^2)*EXP(-(MAX(Table47810[X-values])-Table47810[[#This Row],[X-values]])/7)</f>
        <v>16.693725416060989</v>
      </c>
    </row>
    <row r="107" spans="7:8" x14ac:dyDescent="0.35">
      <c r="G107">
        <v>50</v>
      </c>
      <c r="H107" s="7">
        <f>((MAX(Table47810[X-values])-Table47810[[#This Row],[X-values]])^2)*EXP(-(MAX(Table47810[X-values])-Table47810[[#This Row],[X-values]])/7)</f>
        <v>15.277422444370199</v>
      </c>
    </row>
    <row r="108" spans="7:8" x14ac:dyDescent="0.35">
      <c r="G108">
        <v>50.5</v>
      </c>
      <c r="H108" s="7">
        <f>((MAX(Table47810[X-values])-Table47810[[#This Row],[X-values]])^2)*EXP(-(MAX(Table47810[X-values])-Table47810[[#This Row],[X-values]])/7)</f>
        <v>13.787769054422521</v>
      </c>
    </row>
    <row r="109" spans="7:8" x14ac:dyDescent="0.35">
      <c r="G109">
        <v>51</v>
      </c>
      <c r="H109" s="7">
        <f>((MAX(Table47810[X-values])-Table47810[[#This Row],[X-values]])^2)*EXP(-(MAX(Table47810[X-values])-Table47810[[#This Row],[X-values]])/7)</f>
        <v>12.238541488923827</v>
      </c>
    </row>
    <row r="110" spans="7:8" x14ac:dyDescent="0.35">
      <c r="G110">
        <v>51.5</v>
      </c>
      <c r="H110" s="7">
        <f>((MAX(Table47810[X-values])-Table47810[[#This Row],[X-values]])^2)*EXP(-(MAX(Table47810[X-values])-Table47810[[#This Row],[X-values]])/7)</f>
        <v>10.647207494622041</v>
      </c>
    </row>
    <row r="111" spans="7:8" x14ac:dyDescent="0.35">
      <c r="G111">
        <v>52</v>
      </c>
      <c r="H111" s="7">
        <f>((MAX(Table47810[X-values])-Table47810[[#This Row],[X-values]])^2)*EXP(-(MAX(Table47810[X-values])-Table47810[[#This Row],[X-values]])/7)</f>
        <v>9.0354899521241485</v>
      </c>
    </row>
    <row r="112" spans="7:8" x14ac:dyDescent="0.35">
      <c r="G112">
        <v>52.5</v>
      </c>
      <c r="H112" s="7">
        <f>((MAX(Table47810[X-values])-Table47810[[#This Row],[X-values]])^2)*EXP(-(MAX(Table47810[X-values])-Table47810[[#This Row],[X-values]])/7)</f>
        <v>7.4300005814797592</v>
      </c>
    </row>
    <row r="113" spans="7:8" x14ac:dyDescent="0.35">
      <c r="G113">
        <v>53</v>
      </c>
      <c r="H113" s="7">
        <f>((MAX(Table47810[X-values])-Table47810[[#This Row],[X-values]])^2)*EXP(-(MAX(Table47810[X-values])-Table47810[[#This Row],[X-values]])/7)</f>
        <v>5.8629515177795</v>
      </c>
    </row>
    <row r="114" spans="7:8" x14ac:dyDescent="0.35">
      <c r="G114">
        <v>53.5</v>
      </c>
      <c r="H114" s="7">
        <f>((MAX(Table47810[X-values])-Table47810[[#This Row],[X-values]])^2)*EXP(-(MAX(Table47810[X-values])-Table47810[[#This Row],[X-values]])/7)</f>
        <v>4.3729533585945646</v>
      </c>
    </row>
    <row r="115" spans="7:8" x14ac:dyDescent="0.35">
      <c r="G115">
        <v>54</v>
      </c>
      <c r="H115" s="7">
        <f>((MAX(Table47810[X-values])-Table47810[[#This Row],[X-values]])^2)*EXP(-(MAX(Table47810[X-values])-Table47810[[#This Row],[X-values]])/7)</f>
        <v>3.005909172301144</v>
      </c>
    </row>
    <row r="116" spans="7:8" x14ac:dyDescent="0.35">
      <c r="G116">
        <v>54.5</v>
      </c>
      <c r="H116" s="7">
        <f>((MAX(Table47810[X-values])-Table47810[[#This Row],[X-values]])^2)*EXP(-(MAX(Table47810[X-values])-Table47810[[#This Row],[X-values]])/7)</f>
        <v>1.8160149307621258</v>
      </c>
    </row>
    <row r="117" spans="7:8" x14ac:dyDescent="0.35">
      <c r="G117">
        <v>55</v>
      </c>
      <c r="H117" s="7">
        <f>((MAX(Table47810[X-values])-Table47810[[#This Row],[X-values]])^2)*EXP(-(MAX(Table47810[X-values])-Table47810[[#This Row],[X-values]])/7)</f>
        <v>0.86687789975018159</v>
      </c>
    </row>
    <row r="118" spans="7:8" x14ac:dyDescent="0.35">
      <c r="G118">
        <v>55.5</v>
      </c>
      <c r="H118" s="7">
        <f>((MAX(Table47810[X-values])-Table47810[[#This Row],[X-values]])^2)*EXP(-(MAX(Table47810[X-values])-Table47810[[#This Row],[X-values]])/7)</f>
        <v>0.23276569492600568</v>
      </c>
    </row>
    <row r="119" spans="7:8" x14ac:dyDescent="0.35">
      <c r="G119">
        <v>56</v>
      </c>
      <c r="H119" s="7">
        <f>((MAX(Table47810[X-values])-Table47810[[#This Row],[X-values]])^2)*EXP(-(MAX(Table47810[X-values])-Table47810[[#This Row],[X-values]])/7)</f>
        <v>0</v>
      </c>
    </row>
  </sheetData>
  <pageMargins left="0.7" right="0.7" top="0.75" bottom="0.75" header="0.3" footer="0.3"/>
  <pageSetup orientation="portrait" horizontalDpi="1200" verticalDpi="1200" r:id="rId1"/>
  <drawing r:id="rId2"/>
  <tableParts count="2"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Range</vt:lpstr>
      <vt:lpstr>St Dev</vt:lpstr>
      <vt:lpstr>Z-score</vt:lpstr>
      <vt:lpstr>Distribution</vt:lpstr>
      <vt:lpstr>Right tailed</vt:lpstr>
      <vt:lpstr>Left tailed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IIM SBP</dc:creator>
  <cp:lastModifiedBy>Atul Prashar</cp:lastModifiedBy>
  <dcterms:created xsi:type="dcterms:W3CDTF">2015-06-05T18:17:20Z</dcterms:created>
  <dcterms:modified xsi:type="dcterms:W3CDTF">2025-10-31T18:07:41Z</dcterms:modified>
</cp:coreProperties>
</file>